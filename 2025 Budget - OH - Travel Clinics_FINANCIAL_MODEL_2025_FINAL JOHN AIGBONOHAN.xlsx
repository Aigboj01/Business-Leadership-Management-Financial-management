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Budgets for MMS\"/>
    </mc:Choice>
  </mc:AlternateContent>
  <xr:revisionPtr revIDLastSave="0" documentId="8_{43D97FAE-D861-4D2D-BE6B-1E0E9ADBD6FA}" xr6:coauthVersionLast="47" xr6:coauthVersionMax="47" xr10:uidLastSave="{00000000-0000-0000-0000-000000000000}"/>
  <bookViews>
    <workbookView xWindow="-110" yWindow="-110" windowWidth="19420" windowHeight="10300" activeTab="1" xr2:uid="{4CFB4E10-6229-41B1-9DCA-0EAE63BFE968}"/>
  </bookViews>
  <sheets>
    <sheet name="Assumption-(OH)" sheetId="5" r:id="rId1"/>
    <sheet name="Computations-(OH)" sheetId="8" r:id="rId2"/>
    <sheet name="Computations-Outputs" sheetId="4" state="hidden" r:id="rId3"/>
  </sheets>
  <definedNames>
    <definedName name="afril">#REF!</definedName>
    <definedName name="AS2DocOpenMode" hidden="1">"AS2DocumentBrowse"</definedName>
    <definedName name="BS">#REF!</definedName>
    <definedName name="CIQWBGuid" hidden="1">"2cd8126d-26c3-430c-b7fa-a069e3a1fc62"</definedName>
    <definedName name="costaa">#REF!</definedName>
    <definedName name="F">#REF!</definedName>
    <definedName name="fs">#REF!</definedName>
    <definedName name="GGGG">#REF!</definedName>
    <definedName name="groupincome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ANS">#REF!</definedName>
    <definedName name="OLDMAN">#REF!</definedName>
    <definedName name="PAC">#REF!</definedName>
    <definedName name="PL">#REF!</definedName>
    <definedName name="_xlnm.Print_Area" localSheetId="0">'Assumption-(OH)'!$A$1:$O$93</definedName>
    <definedName name="_xlnm.Print_Area" localSheetId="1">'Computations-(OH)'!$A$1:$T$49</definedName>
    <definedName name="_xlnm.Print_Area" localSheetId="2">'Computations-Outputs'!$A$1:$T$41</definedName>
    <definedName name="REGISTRAR">#REF!</definedName>
    <definedName name="SCHD3">#REF!</definedName>
    <definedName name="SCHED1">#REF!</definedName>
    <definedName name="SCHED2">#REF!</definedName>
    <definedName name="SCHED3">#REF!</definedName>
    <definedName name="SCHED4">#REF!</definedName>
    <definedName name="SEMI">#REF!</definedName>
    <definedName name="SSES">#REF!</definedName>
    <definedName name="SUMMARY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5" l="1"/>
  <c r="I44" i="5" s="1"/>
  <c r="J44" i="5" s="1"/>
  <c r="D45" i="5"/>
  <c r="E6" i="5" l="1"/>
  <c r="Q36" i="5"/>
  <c r="Q65" i="5"/>
  <c r="Q57" i="5"/>
  <c r="Q51" i="5"/>
  <c r="Q49" i="5"/>
  <c r="Q50" i="5"/>
  <c r="E23" i="5"/>
  <c r="F23" i="5"/>
  <c r="G23" i="5"/>
  <c r="H23" i="5"/>
  <c r="D23" i="5"/>
  <c r="D15" i="5"/>
  <c r="D16" i="5"/>
  <c r="D17" i="5"/>
  <c r="D18" i="5"/>
  <c r="D19" i="5"/>
  <c r="D20" i="5"/>
  <c r="D21" i="5"/>
  <c r="D22" i="5"/>
  <c r="Q22" i="5" s="1"/>
  <c r="B6" i="8"/>
  <c r="D7" i="5"/>
  <c r="E7" i="5"/>
  <c r="D6" i="5"/>
  <c r="K14" i="5"/>
  <c r="Q46" i="5"/>
  <c r="Q47" i="5"/>
  <c r="Q48" i="5"/>
  <c r="Q52" i="5"/>
  <c r="Q53" i="5"/>
  <c r="Q54" i="5"/>
  <c r="Q55" i="5"/>
  <c r="Q56" i="5"/>
  <c r="Q58" i="5"/>
  <c r="Q59" i="5"/>
  <c r="Q60" i="5"/>
  <c r="Q61" i="5"/>
  <c r="Q62" i="5"/>
  <c r="Q63" i="5"/>
  <c r="Q64" i="5"/>
  <c r="G28" i="5"/>
  <c r="H28" i="5" s="1"/>
  <c r="I28" i="5" s="1"/>
  <c r="J28" i="5" s="1"/>
  <c r="K28" i="5" s="1"/>
  <c r="L28" i="5" s="1"/>
  <c r="M28" i="5" s="1"/>
  <c r="N28" i="5" s="1"/>
  <c r="O28" i="5" s="1"/>
  <c r="G30" i="5"/>
  <c r="H30" i="5" s="1"/>
  <c r="I30" i="5" s="1"/>
  <c r="J30" i="5" s="1"/>
  <c r="K30" i="5" s="1"/>
  <c r="L30" i="5" s="1"/>
  <c r="M30" i="5" s="1"/>
  <c r="N30" i="5" s="1"/>
  <c r="O30" i="5" s="1"/>
  <c r="G29" i="5"/>
  <c r="H29" i="5" s="1"/>
  <c r="I29" i="5" s="1"/>
  <c r="J29" i="5" s="1"/>
  <c r="K29" i="5" s="1"/>
  <c r="L29" i="5" s="1"/>
  <c r="M29" i="5" s="1"/>
  <c r="N29" i="5" s="1"/>
  <c r="O29" i="5" s="1"/>
  <c r="K44" i="5" l="1"/>
  <c r="L44" i="5" s="1"/>
  <c r="J23" i="5"/>
  <c r="I23" i="5"/>
  <c r="Q28" i="5"/>
  <c r="Q30" i="5"/>
  <c r="Q29" i="5"/>
  <c r="D5" i="5"/>
  <c r="K23" i="5" l="1"/>
  <c r="K13" i="5" s="1"/>
  <c r="L23" i="5"/>
  <c r="M44" i="5"/>
  <c r="N44" i="5" s="1"/>
  <c r="Q37" i="5"/>
  <c r="Q38" i="5"/>
  <c r="Q39" i="5"/>
  <c r="Q40" i="5"/>
  <c r="Q41" i="5"/>
  <c r="Q42" i="5"/>
  <c r="Q43" i="5"/>
  <c r="E15" i="5"/>
  <c r="F15" i="5"/>
  <c r="G15" i="5"/>
  <c r="H15" i="5"/>
  <c r="I15" i="5"/>
  <c r="J15" i="5"/>
  <c r="E16" i="5"/>
  <c r="F16" i="5"/>
  <c r="G16" i="5"/>
  <c r="H16" i="5"/>
  <c r="I16" i="5"/>
  <c r="J16" i="5"/>
  <c r="E17" i="5"/>
  <c r="F17" i="5"/>
  <c r="G17" i="5"/>
  <c r="H17" i="5"/>
  <c r="I17" i="5"/>
  <c r="J17" i="5"/>
  <c r="E18" i="5"/>
  <c r="F18" i="5"/>
  <c r="G18" i="5"/>
  <c r="H18" i="5"/>
  <c r="I18" i="5"/>
  <c r="J18" i="5"/>
  <c r="M23" i="5" l="1"/>
  <c r="Q15" i="5"/>
  <c r="Q16" i="5"/>
  <c r="Q17" i="5"/>
  <c r="Q18" i="5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D82" i="5"/>
  <c r="D76" i="5"/>
  <c r="D13" i="8" s="1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B7" i="8"/>
  <c r="D26" i="8"/>
  <c r="E26" i="8" s="1"/>
  <c r="F26" i="8" s="1"/>
  <c r="O44" i="5" l="1"/>
  <c r="N23" i="5"/>
  <c r="G26" i="8"/>
  <c r="H26" i="8" s="1"/>
  <c r="I26" i="8" s="1"/>
  <c r="J26" i="8" s="1"/>
  <c r="K26" i="8" s="1"/>
  <c r="L26" i="8" s="1"/>
  <c r="M26" i="8" s="1"/>
  <c r="N26" i="8" s="1"/>
  <c r="O26" i="8" s="1"/>
  <c r="P39" i="8"/>
  <c r="P33" i="8"/>
  <c r="D22" i="8"/>
  <c r="P27" i="8"/>
  <c r="Q27" i="8" s="1"/>
  <c r="R27" i="8" s="1"/>
  <c r="S27" i="8" s="1"/>
  <c r="T27" i="8" s="1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1" i="8"/>
  <c r="Q31" i="8" s="1"/>
  <c r="R31" i="8" s="1"/>
  <c r="S31" i="8" s="1"/>
  <c r="T31" i="8" s="1"/>
  <c r="P25" i="8"/>
  <c r="Q25" i="8" s="1"/>
  <c r="R25" i="8" s="1"/>
  <c r="S25" i="8" s="1"/>
  <c r="T25" i="8" s="1"/>
  <c r="P28" i="8"/>
  <c r="Q28" i="8" s="1"/>
  <c r="R28" i="8" s="1"/>
  <c r="S28" i="8" s="1"/>
  <c r="T28" i="8" s="1"/>
  <c r="P29" i="8"/>
  <c r="Q29" i="8" s="1"/>
  <c r="R29" i="8" s="1"/>
  <c r="S29" i="8" s="1"/>
  <c r="T29" i="8" s="1"/>
  <c r="P32" i="8"/>
  <c r="Q32" i="8" s="1"/>
  <c r="R32" i="8" s="1"/>
  <c r="S32" i="8" s="1"/>
  <c r="T32" i="8" s="1"/>
  <c r="Q44" i="5" l="1"/>
  <c r="O23" i="5"/>
  <c r="Q23" i="5" s="1"/>
  <c r="P26" i="8"/>
  <c r="E22" i="8"/>
  <c r="P30" i="8"/>
  <c r="Q30" i="8" s="1"/>
  <c r="R30" i="8" s="1"/>
  <c r="S30" i="8" s="1"/>
  <c r="T30" i="8" s="1"/>
  <c r="F22" i="8" l="1"/>
  <c r="G22" i="8" l="1"/>
  <c r="H22" i="8" l="1"/>
  <c r="I22" i="8" l="1"/>
  <c r="J22" i="8" l="1"/>
  <c r="K22" i="8" l="1"/>
  <c r="L22" i="8" l="1"/>
  <c r="M22" i="8" l="1"/>
  <c r="N22" i="8" l="1"/>
  <c r="O22" i="8" l="1"/>
  <c r="P22" i="8" s="1"/>
  <c r="Q22" i="8" s="1"/>
  <c r="R22" i="8" s="1"/>
  <c r="S22" i="8" s="1"/>
  <c r="T22" i="8" s="1"/>
  <c r="E5" i="5" l="1"/>
  <c r="B6" i="4"/>
  <c r="D6" i="8" l="1"/>
  <c r="F7" i="5"/>
  <c r="E19" i="5"/>
  <c r="F19" i="5"/>
  <c r="G19" i="5"/>
  <c r="H19" i="5"/>
  <c r="I19" i="5"/>
  <c r="J19" i="5"/>
  <c r="E20" i="5"/>
  <c r="F20" i="5"/>
  <c r="G20" i="5"/>
  <c r="H20" i="5"/>
  <c r="I20" i="5"/>
  <c r="J20" i="5"/>
  <c r="E21" i="5"/>
  <c r="F21" i="5"/>
  <c r="G21" i="5"/>
  <c r="H21" i="5"/>
  <c r="I21" i="5"/>
  <c r="J21" i="5"/>
  <c r="E14" i="5"/>
  <c r="F14" i="5"/>
  <c r="G14" i="5"/>
  <c r="H14" i="5"/>
  <c r="I14" i="5"/>
  <c r="J14" i="5"/>
  <c r="L14" i="5"/>
  <c r="M14" i="5"/>
  <c r="N14" i="5"/>
  <c r="O14" i="5"/>
  <c r="D14" i="5"/>
  <c r="E23" i="4"/>
  <c r="F24" i="4"/>
  <c r="G29" i="4"/>
  <c r="H26" i="4"/>
  <c r="E27" i="4"/>
  <c r="E20" i="4"/>
  <c r="F28" i="4"/>
  <c r="G25" i="4"/>
  <c r="Q21" i="5" l="1"/>
  <c r="Q19" i="5"/>
  <c r="J13" i="5"/>
  <c r="J7" i="8" s="1"/>
  <c r="Q20" i="5"/>
  <c r="D6" i="4"/>
  <c r="E6" i="8"/>
  <c r="Q14" i="5"/>
  <c r="G7" i="5"/>
  <c r="F6" i="5"/>
  <c r="K7" i="8"/>
  <c r="G13" i="5"/>
  <c r="D13" i="5"/>
  <c r="F13" i="5"/>
  <c r="F7" i="8" s="1"/>
  <c r="M13" i="5"/>
  <c r="M7" i="8" s="1"/>
  <c r="E13" i="5"/>
  <c r="E7" i="8" s="1"/>
  <c r="I13" i="5"/>
  <c r="I7" i="8" s="1"/>
  <c r="H13" i="5"/>
  <c r="H7" i="8" s="1"/>
  <c r="O13" i="5"/>
  <c r="O7" i="8" s="1"/>
  <c r="N13" i="5"/>
  <c r="N7" i="8" s="1"/>
  <c r="L13" i="5"/>
  <c r="L7" i="8" s="1"/>
  <c r="H20" i="4"/>
  <c r="M28" i="4"/>
  <c r="I28" i="4"/>
  <c r="D28" i="4"/>
  <c r="E28" i="4"/>
  <c r="H27" i="4"/>
  <c r="N29" i="4"/>
  <c r="M24" i="4"/>
  <c r="L27" i="4"/>
  <c r="D20" i="4"/>
  <c r="J29" i="4"/>
  <c r="I24" i="4"/>
  <c r="L20" i="4"/>
  <c r="F29" i="4"/>
  <c r="E24" i="4"/>
  <c r="D23" i="4"/>
  <c r="K26" i="4"/>
  <c r="J25" i="4"/>
  <c r="L23" i="4"/>
  <c r="O20" i="4"/>
  <c r="K20" i="4"/>
  <c r="G20" i="4"/>
  <c r="D24" i="4"/>
  <c r="D27" i="4"/>
  <c r="M29" i="4"/>
  <c r="I29" i="4"/>
  <c r="E29" i="4"/>
  <c r="L28" i="4"/>
  <c r="H28" i="4"/>
  <c r="O27" i="4"/>
  <c r="K27" i="4"/>
  <c r="G27" i="4"/>
  <c r="N26" i="4"/>
  <c r="J26" i="4"/>
  <c r="F26" i="4"/>
  <c r="M25" i="4"/>
  <c r="I25" i="4"/>
  <c r="E25" i="4"/>
  <c r="L24" i="4"/>
  <c r="H24" i="4"/>
  <c r="O23" i="4"/>
  <c r="K23" i="4"/>
  <c r="G23" i="4"/>
  <c r="G26" i="4"/>
  <c r="H23" i="4"/>
  <c r="N20" i="4"/>
  <c r="J20" i="4"/>
  <c r="F20" i="4"/>
  <c r="D26" i="4"/>
  <c r="L29" i="4"/>
  <c r="H29" i="4"/>
  <c r="O28" i="4"/>
  <c r="K28" i="4"/>
  <c r="G28" i="4"/>
  <c r="N27" i="4"/>
  <c r="J27" i="4"/>
  <c r="F27" i="4"/>
  <c r="M26" i="4"/>
  <c r="I26" i="4"/>
  <c r="E26" i="4"/>
  <c r="L25" i="4"/>
  <c r="H25" i="4"/>
  <c r="O24" i="4"/>
  <c r="K24" i="4"/>
  <c r="G24" i="4"/>
  <c r="N23" i="4"/>
  <c r="J23" i="4"/>
  <c r="F23" i="4"/>
  <c r="O26" i="4"/>
  <c r="N25" i="4"/>
  <c r="F25" i="4"/>
  <c r="M20" i="4"/>
  <c r="I20" i="4"/>
  <c r="D29" i="4"/>
  <c r="D25" i="4"/>
  <c r="O29" i="4"/>
  <c r="K29" i="4"/>
  <c r="N28" i="4"/>
  <c r="J28" i="4"/>
  <c r="M27" i="4"/>
  <c r="I27" i="4"/>
  <c r="L26" i="4"/>
  <c r="O25" i="4"/>
  <c r="K25" i="4"/>
  <c r="N24" i="4"/>
  <c r="J24" i="4"/>
  <c r="M23" i="4"/>
  <c r="I23" i="4"/>
  <c r="G7" i="8" l="1"/>
  <c r="Q13" i="5"/>
  <c r="D7" i="8"/>
  <c r="D9" i="8" s="1"/>
  <c r="E6" i="4"/>
  <c r="E9" i="8"/>
  <c r="H7" i="5"/>
  <c r="F5" i="5"/>
  <c r="G6" i="5"/>
  <c r="P24" i="4"/>
  <c r="Q24" i="4" s="1"/>
  <c r="R24" i="4" s="1"/>
  <c r="S24" i="4" s="1"/>
  <c r="T24" i="4" s="1"/>
  <c r="P28" i="4"/>
  <c r="Q28" i="4" s="1"/>
  <c r="R28" i="4" s="1"/>
  <c r="S28" i="4" s="1"/>
  <c r="T28" i="4" s="1"/>
  <c r="P25" i="4"/>
  <c r="Q25" i="4" s="1"/>
  <c r="R25" i="4" s="1"/>
  <c r="S25" i="4" s="1"/>
  <c r="T25" i="4" s="1"/>
  <c r="P26" i="4"/>
  <c r="Q26" i="4" s="1"/>
  <c r="R26" i="4" s="1"/>
  <c r="S26" i="4" s="1"/>
  <c r="T26" i="4" s="1"/>
  <c r="P20" i="4"/>
  <c r="Q20" i="4" s="1"/>
  <c r="R20" i="4" s="1"/>
  <c r="S20" i="4" s="1"/>
  <c r="T20" i="4" s="1"/>
  <c r="P27" i="4"/>
  <c r="Q27" i="4" s="1"/>
  <c r="R27" i="4" s="1"/>
  <c r="S27" i="4" s="1"/>
  <c r="T27" i="4" s="1"/>
  <c r="P29" i="4"/>
  <c r="Q29" i="4" s="1"/>
  <c r="R29" i="4" s="1"/>
  <c r="S29" i="4" s="1"/>
  <c r="T29" i="4" s="1"/>
  <c r="P23" i="4"/>
  <c r="Q23" i="4" s="1"/>
  <c r="R23" i="4" s="1"/>
  <c r="S23" i="4" s="1"/>
  <c r="T23" i="4" s="1"/>
  <c r="P7" i="8" l="1"/>
  <c r="Q7" i="8" s="1"/>
  <c r="R7" i="8" s="1"/>
  <c r="S7" i="8" s="1"/>
  <c r="T7" i="8" s="1"/>
  <c r="F6" i="8"/>
  <c r="F9" i="8" s="1"/>
  <c r="D15" i="8"/>
  <c r="D12" i="8"/>
  <c r="E12" i="8"/>
  <c r="E15" i="8"/>
  <c r="F6" i="4"/>
  <c r="I7" i="5"/>
  <c r="G5" i="5"/>
  <c r="G6" i="8" s="1"/>
  <c r="H6" i="5"/>
  <c r="B7" i="4"/>
  <c r="F15" i="8" l="1"/>
  <c r="F12" i="8"/>
  <c r="G6" i="4"/>
  <c r="J7" i="5"/>
  <c r="H5" i="5"/>
  <c r="H6" i="8" s="1"/>
  <c r="I6" i="5"/>
  <c r="L7" i="4"/>
  <c r="D7" i="4"/>
  <c r="D9" i="4" s="1"/>
  <c r="N7" i="4"/>
  <c r="F7" i="4"/>
  <c r="F9" i="4" s="1"/>
  <c r="M7" i="4"/>
  <c r="E7" i="4"/>
  <c r="E9" i="4" s="1"/>
  <c r="J7" i="4"/>
  <c r="I7" i="4"/>
  <c r="K7" i="4"/>
  <c r="H7" i="4"/>
  <c r="O7" i="4"/>
  <c r="G7" i="4"/>
  <c r="G9" i="4" l="1"/>
  <c r="G9" i="8"/>
  <c r="H6" i="4"/>
  <c r="H9" i="4" s="1"/>
  <c r="H9" i="8"/>
  <c r="K7" i="5"/>
  <c r="I5" i="5"/>
  <c r="J6" i="5"/>
  <c r="D21" i="4"/>
  <c r="E21" i="4"/>
  <c r="M21" i="4"/>
  <c r="F21" i="4"/>
  <c r="N21" i="4"/>
  <c r="L21" i="4"/>
  <c r="G21" i="4"/>
  <c r="O21" i="4"/>
  <c r="H21" i="4"/>
  <c r="J21" i="4"/>
  <c r="I21" i="4"/>
  <c r="K21" i="4"/>
  <c r="P7" i="4"/>
  <c r="I6" i="8" l="1"/>
  <c r="I9" i="8" s="1"/>
  <c r="G12" i="8"/>
  <c r="G15" i="8"/>
  <c r="H15" i="8"/>
  <c r="H12" i="8"/>
  <c r="I6" i="4"/>
  <c r="I9" i="4" s="1"/>
  <c r="I13" i="4" s="1"/>
  <c r="L7" i="5"/>
  <c r="J5" i="5"/>
  <c r="J6" i="8" s="1"/>
  <c r="K6" i="5"/>
  <c r="Q7" i="4"/>
  <c r="F22" i="4"/>
  <c r="J22" i="4"/>
  <c r="N22" i="4"/>
  <c r="M22" i="4"/>
  <c r="G22" i="4"/>
  <c r="K22" i="4"/>
  <c r="O22" i="4"/>
  <c r="E22" i="4"/>
  <c r="H22" i="4"/>
  <c r="L22" i="4"/>
  <c r="D22" i="4"/>
  <c r="I22" i="4"/>
  <c r="H13" i="4"/>
  <c r="H12" i="4"/>
  <c r="F12" i="4"/>
  <c r="F13" i="4"/>
  <c r="E12" i="4"/>
  <c r="E13" i="4"/>
  <c r="G13" i="4"/>
  <c r="G12" i="4"/>
  <c r="D13" i="4"/>
  <c r="D12" i="4"/>
  <c r="I12" i="8" l="1"/>
  <c r="I15" i="8"/>
  <c r="I12" i="4"/>
  <c r="I15" i="4" s="1"/>
  <c r="J6" i="4"/>
  <c r="J9" i="4" s="1"/>
  <c r="J12" i="4" s="1"/>
  <c r="M7" i="5"/>
  <c r="K5" i="5"/>
  <c r="K6" i="8" s="1"/>
  <c r="L6" i="5"/>
  <c r="R7" i="4"/>
  <c r="D15" i="4"/>
  <c r="D17" i="4" s="1"/>
  <c r="P22" i="4"/>
  <c r="Q22" i="4" s="1"/>
  <c r="R22" i="4" s="1"/>
  <c r="S22" i="4" s="1"/>
  <c r="T22" i="4" s="1"/>
  <c r="F15" i="4"/>
  <c r="G15" i="4"/>
  <c r="H15" i="4"/>
  <c r="E15" i="4"/>
  <c r="J13" i="4" l="1"/>
  <c r="J15" i="4" s="1"/>
  <c r="J17" i="4" s="1"/>
  <c r="K6" i="4"/>
  <c r="K9" i="4" s="1"/>
  <c r="K13" i="4" s="1"/>
  <c r="K9" i="8"/>
  <c r="J9" i="8"/>
  <c r="N7" i="5"/>
  <c r="L5" i="5"/>
  <c r="L6" i="8" s="1"/>
  <c r="M6" i="5"/>
  <c r="S7" i="4"/>
  <c r="I17" i="4"/>
  <c r="H17" i="4"/>
  <c r="E17" i="4"/>
  <c r="F17" i="4"/>
  <c r="N31" i="4"/>
  <c r="G17" i="4"/>
  <c r="K12" i="8" l="1"/>
  <c r="K15" i="8"/>
  <c r="J12" i="8"/>
  <c r="J15" i="8"/>
  <c r="K12" i="4"/>
  <c r="K15" i="4" s="1"/>
  <c r="K17" i="4" s="1"/>
  <c r="L6" i="4"/>
  <c r="L9" i="4" s="1"/>
  <c r="L12" i="4" s="1"/>
  <c r="L9" i="8"/>
  <c r="O7" i="5"/>
  <c r="Q7" i="5" s="1"/>
  <c r="M5" i="5"/>
  <c r="M6" i="8" s="1"/>
  <c r="N6" i="5"/>
  <c r="O6" i="5"/>
  <c r="F31" i="4"/>
  <c r="F33" i="4" s="1"/>
  <c r="L31" i="4"/>
  <c r="O31" i="4"/>
  <c r="M31" i="4"/>
  <c r="T7" i="4"/>
  <c r="E31" i="4"/>
  <c r="E33" i="4" s="1"/>
  <c r="G31" i="4"/>
  <c r="G33" i="4" s="1"/>
  <c r="I31" i="4"/>
  <c r="I33" i="4" s="1"/>
  <c r="D31" i="4"/>
  <c r="D33" i="4" s="1"/>
  <c r="D35" i="4" s="1"/>
  <c r="P21" i="4"/>
  <c r="Q21" i="4" s="1"/>
  <c r="H31" i="4"/>
  <c r="H33" i="4" s="1"/>
  <c r="K31" i="4"/>
  <c r="J31" i="4"/>
  <c r="J33" i="4" s="1"/>
  <c r="Q6" i="5" l="1"/>
  <c r="L12" i="8"/>
  <c r="L15" i="8"/>
  <c r="L13" i="4"/>
  <c r="L15" i="4" s="1"/>
  <c r="L17" i="4" s="1"/>
  <c r="L33" i="4" s="1"/>
  <c r="K33" i="4"/>
  <c r="M6" i="4"/>
  <c r="M9" i="4" s="1"/>
  <c r="M12" i="4" s="1"/>
  <c r="M9" i="8"/>
  <c r="N5" i="5"/>
  <c r="N6" i="8" s="1"/>
  <c r="O5" i="5"/>
  <c r="D39" i="4"/>
  <c r="E35" i="4"/>
  <c r="R21" i="4"/>
  <c r="Q31" i="4"/>
  <c r="P31" i="4"/>
  <c r="O6" i="8" l="1"/>
  <c r="O9" i="8" s="1"/>
  <c r="Q5" i="5"/>
  <c r="K74" i="5" s="1"/>
  <c r="D77" i="5" s="1"/>
  <c r="D14" i="8" s="1"/>
  <c r="M12" i="8"/>
  <c r="M15" i="8"/>
  <c r="M13" i="4"/>
  <c r="M15" i="4" s="1"/>
  <c r="M17" i="4" s="1"/>
  <c r="M33" i="4" s="1"/>
  <c r="N6" i="4"/>
  <c r="N9" i="4" s="1"/>
  <c r="N9" i="8"/>
  <c r="O6" i="4"/>
  <c r="O9" i="4" s="1"/>
  <c r="O12" i="4" s="1"/>
  <c r="F35" i="4"/>
  <c r="E39" i="4"/>
  <c r="S21" i="4"/>
  <c r="R31" i="4"/>
  <c r="E14" i="8" l="1"/>
  <c r="D17" i="8"/>
  <c r="D19" i="8" s="1"/>
  <c r="N15" i="8"/>
  <c r="N12" i="8"/>
  <c r="O12" i="8"/>
  <c r="O15" i="8"/>
  <c r="D75" i="5"/>
  <c r="D78" i="5"/>
  <c r="O13" i="4"/>
  <c r="O15" i="4" s="1"/>
  <c r="O17" i="4" s="1"/>
  <c r="O33" i="4" s="1"/>
  <c r="P6" i="8"/>
  <c r="P6" i="4"/>
  <c r="P9" i="4" s="1"/>
  <c r="Q13" i="4" s="1"/>
  <c r="N12" i="4"/>
  <c r="P12" i="4" s="1"/>
  <c r="N13" i="4"/>
  <c r="G35" i="4"/>
  <c r="F39" i="4"/>
  <c r="T21" i="4"/>
  <c r="T31" i="4" s="1"/>
  <c r="S31" i="4"/>
  <c r="D79" i="5" l="1"/>
  <c r="D84" i="5" s="1"/>
  <c r="D24" i="8" s="1"/>
  <c r="F14" i="8"/>
  <c r="E17" i="8"/>
  <c r="E19" i="8" s="1"/>
  <c r="P13" i="8"/>
  <c r="P12" i="8"/>
  <c r="Q6" i="8"/>
  <c r="P9" i="8"/>
  <c r="P15" i="8"/>
  <c r="Q6" i="4"/>
  <c r="R6" i="4" s="1"/>
  <c r="S6" i="4" s="1"/>
  <c r="S9" i="4" s="1"/>
  <c r="Q12" i="4"/>
  <c r="Q15" i="4" s="1"/>
  <c r="N15" i="4"/>
  <c r="N17" i="4" s="1"/>
  <c r="N33" i="4" s="1"/>
  <c r="P13" i="4"/>
  <c r="P15" i="4" s="1"/>
  <c r="P17" i="4" s="1"/>
  <c r="G39" i="4"/>
  <c r="H35" i="4"/>
  <c r="D83" i="5" l="1"/>
  <c r="D23" i="8" s="1"/>
  <c r="E23" i="8" s="1"/>
  <c r="G14" i="8"/>
  <c r="F17" i="8"/>
  <c r="F19" i="8" s="1"/>
  <c r="E24" i="8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T6" i="4"/>
  <c r="T9" i="4" s="1"/>
  <c r="Q13" i="8"/>
  <c r="Q12" i="8"/>
  <c r="Q15" i="8"/>
  <c r="Q9" i="4"/>
  <c r="R12" i="4" s="1"/>
  <c r="R9" i="4"/>
  <c r="S13" i="4" s="1"/>
  <c r="Q9" i="8"/>
  <c r="R6" i="8"/>
  <c r="P33" i="4"/>
  <c r="P35" i="4" s="1"/>
  <c r="P39" i="4" s="1"/>
  <c r="P41" i="4" s="1"/>
  <c r="T13" i="4"/>
  <c r="T12" i="4"/>
  <c r="I35" i="4"/>
  <c r="H39" i="4"/>
  <c r="D35" i="8" l="1"/>
  <c r="D37" i="8" s="1"/>
  <c r="D41" i="8" s="1"/>
  <c r="D43" i="8" s="1"/>
  <c r="D47" i="8" s="1"/>
  <c r="R13" i="4"/>
  <c r="R15" i="4" s="1"/>
  <c r="R17" i="4" s="1"/>
  <c r="R33" i="4" s="1"/>
  <c r="S12" i="4"/>
  <c r="S15" i="4" s="1"/>
  <c r="S17" i="4" s="1"/>
  <c r="S33" i="4" s="1"/>
  <c r="H14" i="8"/>
  <c r="G17" i="8"/>
  <c r="G19" i="8" s="1"/>
  <c r="F23" i="8"/>
  <c r="F35" i="8" s="1"/>
  <c r="E35" i="8"/>
  <c r="E37" i="8" s="1"/>
  <c r="E41" i="8" s="1"/>
  <c r="R13" i="8"/>
  <c r="R12" i="8"/>
  <c r="R15" i="8"/>
  <c r="Q17" i="8"/>
  <c r="Q19" i="8" s="1"/>
  <c r="Q17" i="4"/>
  <c r="Q33" i="4" s="1"/>
  <c r="Q35" i="4" s="1"/>
  <c r="Q39" i="4" s="1"/>
  <c r="Q41" i="4" s="1"/>
  <c r="S6" i="8"/>
  <c r="R9" i="8"/>
  <c r="T15" i="4"/>
  <c r="T17" i="4" s="1"/>
  <c r="T33" i="4" s="1"/>
  <c r="J35" i="4"/>
  <c r="I39" i="4"/>
  <c r="E43" i="8" l="1"/>
  <c r="E47" i="8" s="1"/>
  <c r="I14" i="8"/>
  <c r="H17" i="8"/>
  <c r="H19" i="8" s="1"/>
  <c r="G23" i="8"/>
  <c r="F37" i="8"/>
  <c r="F41" i="8" s="1"/>
  <c r="S13" i="8"/>
  <c r="S12" i="8"/>
  <c r="S15" i="8"/>
  <c r="T6" i="8"/>
  <c r="T9" i="8" s="1"/>
  <c r="S9" i="8"/>
  <c r="R17" i="8"/>
  <c r="R19" i="8" s="1"/>
  <c r="R35" i="4"/>
  <c r="R39" i="4" s="1"/>
  <c r="R41" i="4" s="1"/>
  <c r="K35" i="4"/>
  <c r="J39" i="4"/>
  <c r="F43" i="8" l="1"/>
  <c r="F47" i="8" s="1"/>
  <c r="J14" i="8"/>
  <c r="I17" i="8"/>
  <c r="I19" i="8" s="1"/>
  <c r="H23" i="8"/>
  <c r="G35" i="8"/>
  <c r="G37" i="8" s="1"/>
  <c r="G41" i="8" s="1"/>
  <c r="T13" i="8"/>
  <c r="T15" i="8"/>
  <c r="T12" i="8"/>
  <c r="S17" i="8"/>
  <c r="S19" i="8" s="1"/>
  <c r="S35" i="4"/>
  <c r="S39" i="4" s="1"/>
  <c r="S41" i="4" s="1"/>
  <c r="L35" i="4"/>
  <c r="K39" i="4"/>
  <c r="G43" i="8" l="1"/>
  <c r="G47" i="8" s="1"/>
  <c r="K14" i="8"/>
  <c r="J17" i="8"/>
  <c r="J19" i="8" s="1"/>
  <c r="I23" i="8"/>
  <c r="H35" i="8"/>
  <c r="H37" i="8" s="1"/>
  <c r="H41" i="8" s="1"/>
  <c r="T17" i="8"/>
  <c r="T19" i="8" s="1"/>
  <c r="T35" i="4"/>
  <c r="T39" i="4" s="1"/>
  <c r="T41" i="4" s="1"/>
  <c r="M35" i="4"/>
  <c r="L39" i="4"/>
  <c r="H43" i="8" l="1"/>
  <c r="H47" i="8" s="1"/>
  <c r="L14" i="8"/>
  <c r="K17" i="8"/>
  <c r="K19" i="8" s="1"/>
  <c r="J23" i="8"/>
  <c r="I35" i="8"/>
  <c r="I37" i="8" s="1"/>
  <c r="I41" i="8" s="1"/>
  <c r="N35" i="4"/>
  <c r="M39" i="4"/>
  <c r="I43" i="8" l="1"/>
  <c r="I47" i="8" s="1"/>
  <c r="M14" i="8"/>
  <c r="L17" i="8"/>
  <c r="L19" i="8" s="1"/>
  <c r="K23" i="8"/>
  <c r="J35" i="8"/>
  <c r="J37" i="8" s="1"/>
  <c r="J41" i="8" s="1"/>
  <c r="O35" i="4"/>
  <c r="O39" i="4" s="1"/>
  <c r="N39" i="4"/>
  <c r="J43" i="8" l="1"/>
  <c r="J47" i="8" s="1"/>
  <c r="N14" i="8"/>
  <c r="M17" i="8"/>
  <c r="M19" i="8" s="1"/>
  <c r="L23" i="8"/>
  <c r="K35" i="8"/>
  <c r="K37" i="8" s="1"/>
  <c r="K41" i="8" s="1"/>
  <c r="K43" i="8" l="1"/>
  <c r="K47" i="8" s="1"/>
  <c r="O14" i="8"/>
  <c r="N17" i="8"/>
  <c r="N19" i="8" s="1"/>
  <c r="M23" i="8"/>
  <c r="L35" i="8"/>
  <c r="L37" i="8" s="1"/>
  <c r="L41" i="8" s="1"/>
  <c r="L43" i="8" l="1"/>
  <c r="L47" i="8" s="1"/>
  <c r="O17" i="8"/>
  <c r="O19" i="8" s="1"/>
  <c r="P14" i="8"/>
  <c r="P17" i="8" s="1"/>
  <c r="N23" i="8"/>
  <c r="M35" i="8"/>
  <c r="M37" i="8" s="1"/>
  <c r="M41" i="8" s="1"/>
  <c r="P19" i="8" l="1"/>
  <c r="M43" i="8"/>
  <c r="M47" i="8" s="1"/>
  <c r="O23" i="8"/>
  <c r="N35" i="8"/>
  <c r="N37" i="8" s="1"/>
  <c r="N41" i="8" s="1"/>
  <c r="N43" i="8" l="1"/>
  <c r="N47" i="8" s="1"/>
  <c r="O35" i="8"/>
  <c r="O37" i="8" s="1"/>
  <c r="O41" i="8" s="1"/>
  <c r="P23" i="8"/>
  <c r="O43" i="8" l="1"/>
  <c r="O47" i="8" s="1"/>
  <c r="P35" i="8"/>
  <c r="Q23" i="8"/>
  <c r="P37" i="8" l="1"/>
  <c r="P41" i="8" s="1"/>
  <c r="P43" i="8" s="1"/>
  <c r="P47" i="8" s="1"/>
  <c r="P49" i="8" s="1"/>
  <c r="Q35" i="8"/>
  <c r="Q37" i="8" s="1"/>
  <c r="R23" i="8"/>
  <c r="Q43" i="8" l="1"/>
  <c r="Q47" i="8" s="1"/>
  <c r="Q49" i="8" s="1"/>
  <c r="R35" i="8"/>
  <c r="R37" i="8" s="1"/>
  <c r="S23" i="8"/>
  <c r="R43" i="8" l="1"/>
  <c r="R47" i="8" s="1"/>
  <c r="R49" i="8" s="1"/>
  <c r="S35" i="8"/>
  <c r="S37" i="8" s="1"/>
  <c r="T23" i="8"/>
  <c r="T35" i="8" s="1"/>
  <c r="T37" i="8" s="1"/>
  <c r="S43" i="8" l="1"/>
  <c r="S47" i="8" s="1"/>
  <c r="S49" i="8" s="1"/>
  <c r="T43" i="8" l="1"/>
  <c r="T47" i="8" s="1"/>
  <c r="T49" i="8" s="1"/>
</calcChain>
</file>

<file path=xl/sharedStrings.xml><?xml version="1.0" encoding="utf-8"?>
<sst xmlns="http://schemas.openxmlformats.org/spreadsheetml/2006/main" count="221" uniqueCount="90">
  <si>
    <t>May</t>
  </si>
  <si>
    <t>NGN</t>
  </si>
  <si>
    <t>Revenue</t>
  </si>
  <si>
    <t>Total Revenue</t>
  </si>
  <si>
    <t>Cost of Revenue</t>
  </si>
  <si>
    <t>Operating expenses</t>
  </si>
  <si>
    <t>EBITDA</t>
  </si>
  <si>
    <t>Average  no of Patient</t>
  </si>
  <si>
    <t>Average case - Price</t>
  </si>
  <si>
    <t>Gross Profit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</si>
  <si>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</si>
  <si>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</si>
  <si>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</si>
  <si>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</si>
  <si>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</si>
  <si>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</si>
  <si>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</si>
  <si>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</si>
  <si>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</si>
  <si>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</si>
  <si>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</si>
  <si>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Water</t>
  </si>
  <si>
    <t>Security</t>
  </si>
  <si>
    <t>Electricity</t>
  </si>
  <si>
    <t>Diesel &amp; Fuel</t>
  </si>
  <si>
    <t>Cleaning</t>
  </si>
  <si>
    <t>Internet</t>
  </si>
  <si>
    <t>Printing &amp; Stationery</t>
  </si>
  <si>
    <t>Bank Charges</t>
  </si>
  <si>
    <t>Repair&amp;Maintenance</t>
  </si>
  <si>
    <t>Staff cost</t>
  </si>
  <si>
    <t>Operating Expenses</t>
  </si>
  <si>
    <t>Direct cost reagent</t>
  </si>
  <si>
    <t>Other direct cost</t>
  </si>
  <si>
    <t>% of COS</t>
  </si>
  <si>
    <t>% of Rev</t>
  </si>
  <si>
    <t>Price Inflation</t>
  </si>
  <si>
    <t>Cost Inflation</t>
  </si>
  <si>
    <t>Total Opex</t>
  </si>
  <si>
    <t>Revenue Growth rate</t>
  </si>
  <si>
    <t>Accumulated EBITDA</t>
  </si>
  <si>
    <t>Total Investment</t>
  </si>
  <si>
    <t>Pay back Balance</t>
  </si>
  <si>
    <t>Pay back Period</t>
  </si>
  <si>
    <t>Total Direct Cost</t>
  </si>
  <si>
    <t>FY 1</t>
  </si>
  <si>
    <t>Fuel for Gen</t>
  </si>
  <si>
    <t>Cleaning Services</t>
  </si>
  <si>
    <t>FY 2</t>
  </si>
  <si>
    <t>FY 3</t>
  </si>
  <si>
    <t>FY 4</t>
  </si>
  <si>
    <t>FY 5</t>
  </si>
  <si>
    <t>Computations-Outputs</t>
  </si>
  <si>
    <t>Assumptions-Inputs</t>
  </si>
  <si>
    <t>Other Inputs</t>
  </si>
  <si>
    <t>Direct Cost - Consumables</t>
  </si>
  <si>
    <t>Average price spent per person</t>
  </si>
  <si>
    <t>Rent</t>
  </si>
  <si>
    <t>% on 2024 actual cost</t>
  </si>
  <si>
    <t>% on Projected Revenue</t>
  </si>
  <si>
    <t>Projected Revenue</t>
  </si>
  <si>
    <t>2024 Actaul Staff Cost</t>
  </si>
  <si>
    <t>Stationery, fliers, banners and general adverts</t>
  </si>
  <si>
    <t>Advert, Printing &amp; Stationery</t>
  </si>
  <si>
    <t>Rent for 4 centres</t>
  </si>
  <si>
    <t>Direct Cost - Consumables &amp; Reagents</t>
  </si>
  <si>
    <t>Direct Cost - Staff</t>
  </si>
  <si>
    <t>Direct Cost - Overheads &amp; Others</t>
  </si>
  <si>
    <t>Indirect Staff Cost</t>
  </si>
  <si>
    <t>Local Govt Levies &amp; Charges</t>
  </si>
  <si>
    <t>Depreciation Expenses</t>
  </si>
  <si>
    <t>Insurance Expenses</t>
  </si>
  <si>
    <r>
      <t>Net Profit/</t>
    </r>
    <r>
      <rPr>
        <b/>
        <sz val="12"/>
        <color rgb="FFFF0000"/>
        <rFont val="Aptos Display"/>
        <family val="2"/>
      </rPr>
      <t>(Loss)</t>
    </r>
  </si>
  <si>
    <t>Direct Cost - Sales Commission</t>
  </si>
  <si>
    <t>IMEs</t>
  </si>
  <si>
    <t>Australia- Regulated</t>
  </si>
  <si>
    <t>Canada- Regulated</t>
  </si>
  <si>
    <t>UK- Regulated</t>
  </si>
  <si>
    <t>USA- Regulated</t>
  </si>
  <si>
    <t xml:space="preserve">Travel Health Consultancy </t>
  </si>
  <si>
    <t>Fit to fly Exams</t>
  </si>
  <si>
    <t>Vaccination Services</t>
  </si>
  <si>
    <t>Travel Health Advisory/Consultancy Services</t>
  </si>
  <si>
    <t>New Zealand -Regulated</t>
  </si>
  <si>
    <t>Travellers Self-help Products (App, Kits, etc)</t>
  </si>
  <si>
    <t>European Countries- Open Access</t>
  </si>
  <si>
    <t>South Africa-Open Access</t>
  </si>
  <si>
    <t>Wafid (Gulf Countries)-Regulated</t>
  </si>
  <si>
    <t>Others-Open Access</t>
  </si>
  <si>
    <t>Others -Open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</si>
</sst>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#,##0;[Red]\(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8"/>
      <color theme="1"/>
      <name val="Trebuchet MS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3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u/>
      <sz val="11"/>
      <color theme="1"/>
      <name val="Trebuchet MS"/>
      <family val="2"/>
    </font>
    <font>
      <b/>
      <sz val="12"/>
      <color theme="3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ptos Display"/>
      <family val="2"/>
    </font>
    <font>
      <b/>
      <sz val="12"/>
      <color rgb="FFFF0000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</cellStyleXfs>
  <cellXfs count="10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8" fillId="0" borderId="4" xfId="5" applyFont="1" applyAlignment="1">
      <alignment horizontal="left" vertical="center"/>
    </xf>
    <xf numFmtId="0" fontId="8" fillId="0" borderId="4" xfId="5" applyFont="1" applyAlignment="1">
      <alignment horizontal="center" vertical="center"/>
    </xf>
    <xf numFmtId="164" fontId="8" fillId="0" borderId="4" xfId="5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1" applyFont="1" applyBorder="1" applyAlignment="1">
      <alignment horizontal="center" vertical="center"/>
    </xf>
    <xf numFmtId="165" fontId="10" fillId="0" borderId="0" xfId="1" applyNumberFormat="1" applyFont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165" fontId="8" fillId="0" borderId="4" xfId="5" applyNumberFormat="1" applyFont="1" applyAlignment="1">
      <alignment horizontal="center" vertical="center"/>
    </xf>
    <xf numFmtId="43" fontId="9" fillId="0" borderId="0" xfId="1" applyNumberFormat="1" applyFont="1" applyBorder="1" applyAlignment="1">
      <alignment horizontal="center" vertical="center"/>
    </xf>
    <xf numFmtId="165" fontId="8" fillId="0" borderId="4" xfId="1" applyNumberFormat="1" applyFont="1" applyBorder="1" applyAlignment="1">
      <alignment horizontal="left" vertical="center"/>
    </xf>
    <xf numFmtId="0" fontId="8" fillId="0" borderId="4" xfId="5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165" fontId="8" fillId="0" borderId="4" xfId="5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4" xfId="5" applyNumberFormat="1" applyFont="1" applyAlignment="1">
      <alignment vertical="center"/>
    </xf>
    <xf numFmtId="0" fontId="6" fillId="0" borderId="2" xfId="3" applyFont="1" applyAlignment="1">
      <alignment vertical="center"/>
    </xf>
    <xf numFmtId="0" fontId="6" fillId="0" borderId="2" xfId="3" applyFont="1" applyAlignment="1">
      <alignment horizontal="center" vertical="center"/>
    </xf>
    <xf numFmtId="164" fontId="6" fillId="0" borderId="2" xfId="3" applyNumberFormat="1" applyFont="1" applyAlignment="1">
      <alignment horizontal="center" vertical="center"/>
    </xf>
    <xf numFmtId="0" fontId="6" fillId="0" borderId="3" xfId="4" applyAlignment="1">
      <alignment vertical="center"/>
    </xf>
    <xf numFmtId="0" fontId="6" fillId="0" borderId="3" xfId="4" applyAlignment="1">
      <alignment horizontal="center" vertical="center"/>
    </xf>
    <xf numFmtId="17" fontId="6" fillId="0" borderId="3" xfId="4" applyNumberFormat="1" applyAlignment="1">
      <alignment horizontal="center" vertical="center"/>
    </xf>
    <xf numFmtId="0" fontId="6" fillId="0" borderId="2" xfId="3" applyFont="1" applyAlignment="1">
      <alignment horizontal="left" vertical="center"/>
    </xf>
    <xf numFmtId="165" fontId="8" fillId="0" borderId="4" xfId="1" applyNumberFormat="1" applyFont="1" applyBorder="1" applyAlignment="1">
      <alignment vertical="center"/>
    </xf>
    <xf numFmtId="164" fontId="8" fillId="0" borderId="4" xfId="5" applyNumberFormat="1" applyFont="1" applyAlignment="1">
      <alignment vertical="center"/>
    </xf>
    <xf numFmtId="164" fontId="8" fillId="0" borderId="4" xfId="1" applyFont="1" applyBorder="1" applyAlignment="1">
      <alignment horizontal="center" vertical="center"/>
    </xf>
    <xf numFmtId="43" fontId="8" fillId="0" borderId="4" xfId="5" applyNumberFormat="1" applyFont="1" applyAlignment="1">
      <alignment horizontal="left" vertical="center"/>
    </xf>
    <xf numFmtId="43" fontId="8" fillId="0" borderId="4" xfId="5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" fontId="13" fillId="0" borderId="0" xfId="0" applyNumberFormat="1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7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left" vertical="center" wrapText="1"/>
    </xf>
    <xf numFmtId="164" fontId="12" fillId="0" borderId="0" xfId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43" fontId="12" fillId="0" borderId="0" xfId="0" applyNumberFormat="1" applyFont="1" applyAlignment="1">
      <alignment horizontal="left" vertical="center"/>
    </xf>
    <xf numFmtId="43" fontId="11" fillId="0" borderId="0" xfId="0" applyNumberFormat="1" applyFont="1" applyAlignment="1">
      <alignment horizontal="left" vertical="center"/>
    </xf>
    <xf numFmtId="43" fontId="11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2" fillId="0" borderId="0" xfId="1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49" fontId="12" fillId="0" borderId="0" xfId="1" applyNumberFormat="1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9" fontId="12" fillId="0" borderId="0" xfId="2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12" fillId="0" borderId="0" xfId="0" applyFont="1"/>
    <xf numFmtId="9" fontId="12" fillId="0" borderId="0" xfId="2" applyFont="1" applyAlignment="1">
      <alignment horizontal="left" vertical="center"/>
    </xf>
    <xf numFmtId="2" fontId="12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4" fillId="0" borderId="2" xfId="3" applyFont="1" applyAlignment="1">
      <alignment horizontal="left" vertical="center"/>
    </xf>
    <xf numFmtId="0" fontId="14" fillId="0" borderId="2" xfId="3" applyFont="1" applyAlignment="1">
      <alignment vertical="center"/>
    </xf>
    <xf numFmtId="0" fontId="14" fillId="0" borderId="2" xfId="3" applyFont="1" applyAlignment="1">
      <alignment horizontal="center" vertical="center"/>
    </xf>
    <xf numFmtId="164" fontId="14" fillId="0" borderId="2" xfId="3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3" xfId="4" applyFont="1" applyAlignment="1">
      <alignment horizontal="center" vertical="center"/>
    </xf>
    <xf numFmtId="0" fontId="14" fillId="0" borderId="3" xfId="4" applyFont="1" applyAlignment="1">
      <alignment vertical="center"/>
    </xf>
    <xf numFmtId="17" fontId="14" fillId="0" borderId="3" xfId="4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4" xfId="5" applyFont="1" applyAlignment="1">
      <alignment vertical="center"/>
    </xf>
    <xf numFmtId="0" fontId="14" fillId="0" borderId="4" xfId="5" applyFont="1" applyAlignment="1">
      <alignment horizontal="center" vertical="center"/>
    </xf>
    <xf numFmtId="164" fontId="14" fillId="0" borderId="4" xfId="5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0" borderId="0" xfId="1" applyFont="1" applyBorder="1" applyAlignment="1">
      <alignment horizontal="center" vertical="center"/>
    </xf>
    <xf numFmtId="165" fontId="15" fillId="0" borderId="0" xfId="1" applyNumberFormat="1" applyFont="1" applyBorder="1" applyAlignment="1">
      <alignment horizontal="center" vertical="center"/>
    </xf>
    <xf numFmtId="165" fontId="14" fillId="0" borderId="4" xfId="1" applyNumberFormat="1" applyFont="1" applyBorder="1" applyAlignment="1">
      <alignment vertical="center"/>
    </xf>
    <xf numFmtId="164" fontId="14" fillId="0" borderId="4" xfId="5" applyNumberFormat="1" applyFont="1" applyAlignment="1">
      <alignment vertical="center"/>
    </xf>
    <xf numFmtId="165" fontId="14" fillId="0" borderId="4" xfId="5" applyNumberFormat="1" applyFont="1" applyAlignment="1">
      <alignment horizontal="center" vertical="center"/>
    </xf>
    <xf numFmtId="0" fontId="14" fillId="0" borderId="4" xfId="5" applyFont="1" applyAlignment="1">
      <alignment horizontal="left" vertical="center"/>
    </xf>
    <xf numFmtId="165" fontId="14" fillId="0" borderId="4" xfId="1" applyNumberFormat="1" applyFont="1" applyBorder="1" applyAlignment="1">
      <alignment horizontal="left" vertical="center"/>
    </xf>
    <xf numFmtId="0" fontId="15" fillId="0" borderId="0" xfId="0" applyFont="1"/>
    <xf numFmtId="165" fontId="14" fillId="0" borderId="4" xfId="5" applyNumberFormat="1" applyFont="1" applyAlignment="1">
      <alignment vertical="center"/>
    </xf>
    <xf numFmtId="0" fontId="14" fillId="0" borderId="4" xfId="5" applyNumberFormat="1" applyFont="1" applyAlignment="1">
      <alignment vertical="center"/>
    </xf>
    <xf numFmtId="164" fontId="16" fillId="0" borderId="0" xfId="1" applyFont="1" applyBorder="1" applyAlignment="1">
      <alignment horizontal="center" vertical="center"/>
    </xf>
    <xf numFmtId="167" fontId="15" fillId="0" borderId="0" xfId="1" applyNumberFormat="1" applyFont="1" applyBorder="1" applyAlignment="1">
      <alignment horizontal="right" vertical="center"/>
    </xf>
    <xf numFmtId="167" fontId="16" fillId="0" borderId="0" xfId="1" applyNumberFormat="1" applyFont="1" applyBorder="1" applyAlignment="1">
      <alignment horizontal="right" vertical="center"/>
    </xf>
    <xf numFmtId="167" fontId="14" fillId="0" borderId="4" xfId="5" applyNumberFormat="1" applyFont="1" applyAlignment="1">
      <alignment horizontal="right" vertical="center"/>
    </xf>
    <xf numFmtId="167" fontId="14" fillId="0" borderId="4" xfId="1" applyNumberFormat="1" applyFont="1" applyBorder="1" applyAlignment="1">
      <alignment horizontal="right" vertical="center"/>
    </xf>
    <xf numFmtId="9" fontId="15" fillId="0" borderId="0" xfId="0" applyNumberFormat="1" applyFont="1" applyAlignment="1">
      <alignment horizontal="center" vertical="center"/>
    </xf>
    <xf numFmtId="9" fontId="15" fillId="0" borderId="0" xfId="2" applyFont="1" applyBorder="1" applyAlignment="1">
      <alignment horizontal="right" vertical="center"/>
    </xf>
    <xf numFmtId="10" fontId="15" fillId="0" borderId="0" xfId="0" applyNumberFormat="1" applyFont="1" applyAlignment="1">
      <alignment horizontal="center" vertical="center"/>
    </xf>
    <xf numFmtId="165" fontId="12" fillId="0" borderId="0" xfId="1" applyNumberFormat="1" applyFont="1" applyAlignment="1">
      <alignment horizontal="right" vertical="center" indent="1"/>
    </xf>
    <xf numFmtId="165" fontId="12" fillId="0" borderId="0" xfId="0" applyNumberFormat="1" applyFont="1" applyAlignment="1">
      <alignment horizontal="right" vertical="center" indent="1"/>
    </xf>
    <xf numFmtId="166" fontId="15" fillId="0" borderId="0" xfId="0" applyNumberFormat="1" applyFont="1" applyAlignment="1">
      <alignment horizontal="center" vertical="center"/>
    </xf>
    <xf numFmtId="1" fontId="15" fillId="0" borderId="0" xfId="1" applyNumberFormat="1" applyFont="1" applyAlignment="1">
      <alignment horizontal="right" vertical="center"/>
    </xf>
    <xf numFmtId="1" fontId="12" fillId="0" borderId="0" xfId="1" applyNumberFormat="1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</cellXfs>
  <cellStyles count="6">
    <cellStyle name="Comma" xfId="1" builtinId="3"/>
    <cellStyle name="Heading 1" xfId="3" builtinId="16"/>
    <cellStyle name="Heading 2" xfId="4" builtinId="17"/>
    <cellStyle name="Heading 3" xfId="5" builtinId="1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776A-99A3-4D92-94A7-7180A9FC14DC}">
  <dimension ref="B1:AD109"/>
  <sheetViews>
    <sheetView topLeftCell="A3" zoomScaleNormal="100" zoomScaleSheetLayoutView="93" workbookViewId="0">
      <pane xSplit="2" ySplit="2" topLeftCell="H11" activePane="bottomRight" state="frozen"/>
      <selection activeCell="H88" sqref="H88"/>
      <selection pane="topRight" activeCell="H88" sqref="H88"/>
      <selection pane="bottomLeft" activeCell="H88" sqref="H88"/>
      <selection pane="bottomRight" activeCell="B7" sqref="B7"/>
    </sheetView>
  </sheetViews>
  <sheetFormatPr defaultColWidth="9.1796875" defaultRowHeight="14.5" x14ac:dyDescent="0.35"/>
  <cols>
    <col min="1" max="1" width="1" style="35" customWidth="1"/>
    <col min="2" max="2" width="31.453125" style="37" customWidth="1"/>
    <col min="3" max="3" width="7.90625" style="35" bestFit="1" customWidth="1"/>
    <col min="4" max="4" width="16.90625" style="35" customWidth="1"/>
    <col min="5" max="15" width="18.453125" style="35" bestFit="1" customWidth="1"/>
    <col min="16" max="16" width="9.1796875" style="35"/>
    <col min="17" max="17" width="19.81640625" style="35" bestFit="1" customWidth="1"/>
    <col min="18" max="18" width="3.54296875" style="35" bestFit="1" customWidth="1"/>
    <col min="19" max="16384" width="9.1796875" style="35"/>
  </cols>
  <sheetData>
    <row r="1" spans="2:17" ht="12" customHeight="1" x14ac:dyDescent="0.35">
      <c r="B1" s="34" t="s">
        <v>53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2:17" ht="12" customHeight="1" x14ac:dyDescent="0.35"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2:17" s="34" customFormat="1" x14ac:dyDescent="0.35">
      <c r="B3" s="38"/>
      <c r="D3" s="39" t="s">
        <v>10</v>
      </c>
      <c r="E3" s="39" t="s">
        <v>11</v>
      </c>
      <c r="F3" s="39" t="s">
        <v>12</v>
      </c>
      <c r="G3" s="39" t="s">
        <v>13</v>
      </c>
      <c r="H3" s="39" t="s">
        <v>0</v>
      </c>
      <c r="I3" s="39" t="s">
        <v>14</v>
      </c>
      <c r="J3" s="39" t="s">
        <v>15</v>
      </c>
      <c r="K3" s="39" t="s">
        <v>16</v>
      </c>
      <c r="L3" s="39" t="s">
        <v>17</v>
      </c>
      <c r="M3" s="39" t="s">
        <v>18</v>
      </c>
      <c r="N3" s="39" t="s">
        <v>19</v>
      </c>
      <c r="O3" s="39" t="s">
        <v>20</v>
      </c>
    </row>
    <row r="4" spans="2:17" s="34" customFormat="1" x14ac:dyDescent="0.35">
      <c r="B4" s="34" t="s">
        <v>79</v>
      </c>
      <c r="C4" s="37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2:17" s="34" customFormat="1" x14ac:dyDescent="0.35">
      <c r="B5" s="43" t="s">
        <v>80</v>
      </c>
      <c r="D5" s="51">
        <f t="shared" ref="D5:O5" si="0">SUM(D6:D11)</f>
        <v>0</v>
      </c>
      <c r="E5" s="51">
        <f t="shared" si="0"/>
        <v>0</v>
      </c>
      <c r="F5" s="51">
        <f t="shared" si="0"/>
        <v>0</v>
      </c>
      <c r="G5" s="51">
        <f t="shared" si="0"/>
        <v>613333.33333333337</v>
      </c>
      <c r="H5" s="51">
        <f t="shared" si="0"/>
        <v>1319166.6666666667</v>
      </c>
      <c r="I5" s="51">
        <f t="shared" si="0"/>
        <v>2025000</v>
      </c>
      <c r="J5" s="51">
        <f t="shared" si="0"/>
        <v>2730833.3333333335</v>
      </c>
      <c r="K5" s="51">
        <f t="shared" si="0"/>
        <v>3436666.666666667</v>
      </c>
      <c r="L5" s="51">
        <f t="shared" si="0"/>
        <v>4142500</v>
      </c>
      <c r="M5" s="51">
        <f t="shared" si="0"/>
        <v>4848333.333333333</v>
      </c>
      <c r="N5" s="51">
        <f t="shared" si="0"/>
        <v>5554166.666666666</v>
      </c>
      <c r="O5" s="51">
        <f t="shared" si="0"/>
        <v>6259999.9999999991</v>
      </c>
      <c r="Q5" s="42">
        <f>SUM(D5:O5)</f>
        <v>30930000</v>
      </c>
    </row>
    <row r="6" spans="2:17" x14ac:dyDescent="0.35">
      <c r="B6" s="43" t="s">
        <v>81</v>
      </c>
      <c r="D6" s="53">
        <f>D28*D49</f>
        <v>0</v>
      </c>
      <c r="E6" s="53">
        <f t="shared" ref="D6:O7" si="1">E49*E28</f>
        <v>0</v>
      </c>
      <c r="F6" s="53">
        <f t="shared" si="1"/>
        <v>0</v>
      </c>
      <c r="G6" s="53">
        <f t="shared" si="1"/>
        <v>100000</v>
      </c>
      <c r="H6" s="53">
        <f t="shared" si="1"/>
        <v>292500</v>
      </c>
      <c r="I6" s="53">
        <f t="shared" si="1"/>
        <v>485000.00000000006</v>
      </c>
      <c r="J6" s="53">
        <f t="shared" si="1"/>
        <v>677500.00000000012</v>
      </c>
      <c r="K6" s="53">
        <f t="shared" si="1"/>
        <v>870000.00000000012</v>
      </c>
      <c r="L6" s="53">
        <f t="shared" si="1"/>
        <v>1062500.0000000002</v>
      </c>
      <c r="M6" s="53">
        <f t="shared" si="1"/>
        <v>1255000</v>
      </c>
      <c r="N6" s="53">
        <f t="shared" si="1"/>
        <v>1447500</v>
      </c>
      <c r="O6" s="53">
        <f t="shared" si="1"/>
        <v>1640000</v>
      </c>
      <c r="Q6" s="45">
        <f>SUM(D6:O6)</f>
        <v>7830000</v>
      </c>
    </row>
    <row r="7" spans="2:17" ht="29" x14ac:dyDescent="0.35">
      <c r="B7" s="43" t="s">
        <v>82</v>
      </c>
      <c r="D7" s="53">
        <f t="shared" si="1"/>
        <v>0</v>
      </c>
      <c r="E7" s="53">
        <f t="shared" si="1"/>
        <v>0</v>
      </c>
      <c r="F7" s="53">
        <f t="shared" si="1"/>
        <v>0</v>
      </c>
      <c r="G7" s="53">
        <f t="shared" si="1"/>
        <v>513333.33333333337</v>
      </c>
      <c r="H7" s="53">
        <f t="shared" si="1"/>
        <v>1026666.6666666667</v>
      </c>
      <c r="I7" s="53">
        <f t="shared" si="1"/>
        <v>1540000</v>
      </c>
      <c r="J7" s="53">
        <f t="shared" si="1"/>
        <v>2053333.3333333335</v>
      </c>
      <c r="K7" s="53">
        <f t="shared" si="1"/>
        <v>2566666.666666667</v>
      </c>
      <c r="L7" s="53">
        <f t="shared" si="1"/>
        <v>3080000</v>
      </c>
      <c r="M7" s="53">
        <f t="shared" si="1"/>
        <v>3593333.333333333</v>
      </c>
      <c r="N7" s="53">
        <f t="shared" si="1"/>
        <v>4106666.6666666665</v>
      </c>
      <c r="O7" s="53">
        <f t="shared" si="1"/>
        <v>4619999.9999999991</v>
      </c>
      <c r="Q7" s="45">
        <f>SUM(D7:O7)</f>
        <v>23100000</v>
      </c>
    </row>
    <row r="8" spans="2:17" ht="29" hidden="1" x14ac:dyDescent="0.35">
      <c r="B8" s="43" t="s">
        <v>84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Q8" s="45"/>
    </row>
    <row r="9" spans="2:17" x14ac:dyDescent="0.35"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Q9" s="45"/>
    </row>
    <row r="10" spans="2:17" s="34" customFormat="1" x14ac:dyDescent="0.35">
      <c r="B10" s="37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</row>
    <row r="11" spans="2:17" s="34" customFormat="1" x14ac:dyDescent="0.35"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</row>
    <row r="12" spans="2:17" x14ac:dyDescent="0.35">
      <c r="B12" s="47"/>
      <c r="D12" s="62"/>
      <c r="E12" s="62"/>
      <c r="F12" s="62"/>
      <c r="G12" s="62"/>
      <c r="H12" s="53"/>
      <c r="I12" s="62"/>
      <c r="J12" s="62"/>
      <c r="K12" s="62"/>
      <c r="L12" s="62"/>
      <c r="M12" s="62"/>
      <c r="N12" s="62"/>
      <c r="O12" s="62"/>
    </row>
    <row r="13" spans="2:17" s="34" customFormat="1" x14ac:dyDescent="0.35">
      <c r="B13" s="48" t="s">
        <v>74</v>
      </c>
      <c r="D13" s="51">
        <f>SUM(D14:D23)</f>
        <v>810000</v>
      </c>
      <c r="E13" s="51">
        <f t="shared" ref="E13:O13" si="2">SUM(E14:E23)</f>
        <v>1200000</v>
      </c>
      <c r="F13" s="51">
        <f t="shared" si="2"/>
        <v>2800000</v>
      </c>
      <c r="G13" s="51">
        <f t="shared" si="2"/>
        <v>4380000</v>
      </c>
      <c r="H13" s="51">
        <f t="shared" si="2"/>
        <v>5665000</v>
      </c>
      <c r="I13" s="51">
        <f t="shared" si="2"/>
        <v>7570750</v>
      </c>
      <c r="J13" s="51">
        <f>SUM(J14:J23)</f>
        <v>10757137.5</v>
      </c>
      <c r="K13" s="51">
        <f t="shared" si="2"/>
        <v>14344813.125</v>
      </c>
      <c r="L13" s="51">
        <f t="shared" si="2"/>
        <v>18242738.375</v>
      </c>
      <c r="M13" s="51">
        <f t="shared" si="2"/>
        <v>21797172.96875</v>
      </c>
      <c r="N13" s="51">
        <f t="shared" si="2"/>
        <v>25952716.2109375</v>
      </c>
      <c r="O13" s="51">
        <f t="shared" si="2"/>
        <v>30859645.263671875</v>
      </c>
      <c r="Q13" s="42">
        <f>SUM(D13:O13)</f>
        <v>144379973.44335938</v>
      </c>
    </row>
    <row r="14" spans="2:17" x14ac:dyDescent="0.35">
      <c r="B14" s="46" t="s">
        <v>75</v>
      </c>
      <c r="C14" s="49"/>
      <c r="D14" s="53">
        <f t="shared" ref="D14:O14" si="3">D36*D57</f>
        <v>810000</v>
      </c>
      <c r="E14" s="53">
        <f t="shared" si="3"/>
        <v>1200000</v>
      </c>
      <c r="F14" s="53">
        <f t="shared" si="3"/>
        <v>2800000</v>
      </c>
      <c r="G14" s="53">
        <f t="shared" si="3"/>
        <v>3680000</v>
      </c>
      <c r="H14" s="53">
        <f t="shared" si="3"/>
        <v>4370000</v>
      </c>
      <c r="I14" s="53">
        <f t="shared" si="3"/>
        <v>5175000</v>
      </c>
      <c r="J14" s="53">
        <f t="shared" si="3"/>
        <v>6325000</v>
      </c>
      <c r="K14" s="53">
        <f>K36*K57</f>
        <v>7475000</v>
      </c>
      <c r="L14" s="53">
        <f t="shared" si="3"/>
        <v>8625000</v>
      </c>
      <c r="M14" s="53">
        <f t="shared" si="3"/>
        <v>9775000</v>
      </c>
      <c r="N14" s="53">
        <f t="shared" si="3"/>
        <v>10925000</v>
      </c>
      <c r="O14" s="53">
        <f t="shared" si="3"/>
        <v>12075000</v>
      </c>
      <c r="Q14" s="42">
        <f t="shared" ref="Q14:Q23" si="4">SUM(D14:P14)</f>
        <v>73235000</v>
      </c>
    </row>
    <row r="15" spans="2:17" hidden="1" x14ac:dyDescent="0.35">
      <c r="B15" s="46" t="s">
        <v>76</v>
      </c>
      <c r="C15" s="49"/>
      <c r="D15" s="53">
        <f t="shared" ref="D15" si="5">D37*D58</f>
        <v>0</v>
      </c>
      <c r="E15" s="53">
        <f t="shared" ref="E15:J15" si="6">E37*E58</f>
        <v>0</v>
      </c>
      <c r="F15" s="53">
        <f t="shared" si="6"/>
        <v>0</v>
      </c>
      <c r="G15" s="53">
        <f t="shared" si="6"/>
        <v>0</v>
      </c>
      <c r="H15" s="53">
        <f t="shared" si="6"/>
        <v>0</v>
      </c>
      <c r="I15" s="53">
        <f t="shared" si="6"/>
        <v>0</v>
      </c>
      <c r="J15" s="53">
        <f t="shared" si="6"/>
        <v>0</v>
      </c>
      <c r="K15" s="53"/>
      <c r="L15" s="53"/>
      <c r="M15" s="53"/>
      <c r="N15" s="53"/>
      <c r="O15" s="53"/>
      <c r="Q15" s="42">
        <f t="shared" si="4"/>
        <v>0</v>
      </c>
    </row>
    <row r="16" spans="2:17" hidden="1" x14ac:dyDescent="0.35">
      <c r="B16" s="46" t="s">
        <v>77</v>
      </c>
      <c r="C16" s="49"/>
      <c r="D16" s="53">
        <f t="shared" ref="D16" si="7">D38*D59</f>
        <v>0</v>
      </c>
      <c r="E16" s="53">
        <f t="shared" ref="E16:J16" si="8">E38*E59</f>
        <v>0</v>
      </c>
      <c r="F16" s="53">
        <f t="shared" si="8"/>
        <v>0</v>
      </c>
      <c r="G16" s="53">
        <f t="shared" si="8"/>
        <v>0</v>
      </c>
      <c r="H16" s="53">
        <f t="shared" si="8"/>
        <v>0</v>
      </c>
      <c r="I16" s="53">
        <f t="shared" si="8"/>
        <v>0</v>
      </c>
      <c r="J16" s="53">
        <f t="shared" si="8"/>
        <v>0</v>
      </c>
      <c r="K16" s="53"/>
      <c r="L16" s="53"/>
      <c r="M16" s="53"/>
      <c r="N16" s="53"/>
      <c r="O16" s="53"/>
      <c r="Q16" s="42">
        <f t="shared" si="4"/>
        <v>0</v>
      </c>
    </row>
    <row r="17" spans="2:17" hidden="1" x14ac:dyDescent="0.35">
      <c r="B17" s="46" t="s">
        <v>78</v>
      </c>
      <c r="C17" s="49"/>
      <c r="D17" s="53">
        <f t="shared" ref="D17" si="9">D39*D60</f>
        <v>0</v>
      </c>
      <c r="E17" s="53">
        <f t="shared" ref="E17:J17" si="10">E39*E60</f>
        <v>0</v>
      </c>
      <c r="F17" s="53">
        <f t="shared" si="10"/>
        <v>0</v>
      </c>
      <c r="G17" s="53">
        <f t="shared" si="10"/>
        <v>0</v>
      </c>
      <c r="H17" s="53">
        <f t="shared" si="10"/>
        <v>0</v>
      </c>
      <c r="I17" s="53">
        <f t="shared" si="10"/>
        <v>0</v>
      </c>
      <c r="J17" s="53">
        <f t="shared" si="10"/>
        <v>0</v>
      </c>
      <c r="K17" s="53"/>
      <c r="L17" s="53"/>
      <c r="M17" s="53"/>
      <c r="N17" s="53"/>
      <c r="O17" s="53"/>
      <c r="Q17" s="42">
        <f t="shared" si="4"/>
        <v>0</v>
      </c>
    </row>
    <row r="18" spans="2:17" hidden="1" x14ac:dyDescent="0.35">
      <c r="B18" s="46" t="s">
        <v>83</v>
      </c>
      <c r="C18" s="49"/>
      <c r="D18" s="53">
        <f t="shared" ref="D18" si="11">D40*D61</f>
        <v>0</v>
      </c>
      <c r="E18" s="53">
        <f t="shared" ref="E18:J18" si="12">E40*E61</f>
        <v>0</v>
      </c>
      <c r="F18" s="53">
        <f t="shared" si="12"/>
        <v>0</v>
      </c>
      <c r="G18" s="53">
        <f t="shared" si="12"/>
        <v>0</v>
      </c>
      <c r="H18" s="53">
        <f t="shared" si="12"/>
        <v>0</v>
      </c>
      <c r="I18" s="53">
        <f t="shared" si="12"/>
        <v>0</v>
      </c>
      <c r="J18" s="53">
        <f t="shared" si="12"/>
        <v>0</v>
      </c>
      <c r="K18" s="53"/>
      <c r="L18" s="53"/>
      <c r="M18" s="53"/>
      <c r="N18" s="53"/>
      <c r="O18" s="53"/>
      <c r="Q18" s="42">
        <f t="shared" si="4"/>
        <v>0</v>
      </c>
    </row>
    <row r="19" spans="2:17" ht="29" hidden="1" x14ac:dyDescent="0.35">
      <c r="B19" s="43" t="s">
        <v>87</v>
      </c>
      <c r="C19" s="49"/>
      <c r="D19" s="53">
        <f t="shared" ref="D19" si="13">D41*D62</f>
        <v>0</v>
      </c>
      <c r="E19" s="53">
        <f t="shared" ref="E19:J19" si="14">E41*E62</f>
        <v>0</v>
      </c>
      <c r="F19" s="53">
        <f t="shared" si="14"/>
        <v>0</v>
      </c>
      <c r="G19" s="53">
        <f t="shared" si="14"/>
        <v>0</v>
      </c>
      <c r="H19" s="53">
        <f t="shared" si="14"/>
        <v>0</v>
      </c>
      <c r="I19" s="53">
        <f t="shared" si="14"/>
        <v>0</v>
      </c>
      <c r="J19" s="53">
        <f t="shared" si="14"/>
        <v>0</v>
      </c>
      <c r="K19" s="53"/>
      <c r="L19" s="53"/>
      <c r="M19" s="53"/>
      <c r="N19" s="53"/>
      <c r="O19" s="53"/>
      <c r="Q19" s="42">
        <f t="shared" si="4"/>
        <v>0</v>
      </c>
    </row>
    <row r="20" spans="2:17" ht="29" hidden="1" x14ac:dyDescent="0.35">
      <c r="B20" s="43" t="s">
        <v>85</v>
      </c>
      <c r="D20" s="53">
        <f t="shared" ref="D20" si="15">D42*D63</f>
        <v>0</v>
      </c>
      <c r="E20" s="53">
        <f t="shared" ref="E20:J20" si="16">E42*E63</f>
        <v>0</v>
      </c>
      <c r="F20" s="53">
        <f t="shared" si="16"/>
        <v>0</v>
      </c>
      <c r="G20" s="53">
        <f t="shared" si="16"/>
        <v>0</v>
      </c>
      <c r="H20" s="53">
        <f t="shared" si="16"/>
        <v>0</v>
      </c>
      <c r="I20" s="53">
        <f t="shared" si="16"/>
        <v>0</v>
      </c>
      <c r="J20" s="53">
        <f t="shared" si="16"/>
        <v>0</v>
      </c>
      <c r="K20" s="53"/>
      <c r="L20" s="53"/>
      <c r="M20" s="53"/>
      <c r="N20" s="53"/>
      <c r="O20" s="53"/>
      <c r="Q20" s="42">
        <f t="shared" si="4"/>
        <v>0</v>
      </c>
    </row>
    <row r="21" spans="2:17" hidden="1" x14ac:dyDescent="0.35">
      <c r="B21" s="46" t="s">
        <v>86</v>
      </c>
      <c r="D21" s="53">
        <f t="shared" ref="D21" si="17">D43*D64</f>
        <v>0</v>
      </c>
      <c r="E21" s="53">
        <f t="shared" ref="E21:J21" si="18">E43*E64</f>
        <v>0</v>
      </c>
      <c r="F21" s="53">
        <f t="shared" si="18"/>
        <v>0</v>
      </c>
      <c r="G21" s="53">
        <f t="shared" si="18"/>
        <v>0</v>
      </c>
      <c r="H21" s="53">
        <f t="shared" si="18"/>
        <v>0</v>
      </c>
      <c r="I21" s="53">
        <f t="shared" si="18"/>
        <v>0</v>
      </c>
      <c r="J21" s="53">
        <f t="shared" si="18"/>
        <v>0</v>
      </c>
      <c r="K21" s="53"/>
      <c r="L21" s="53"/>
      <c r="M21" s="53"/>
      <c r="N21" s="53"/>
      <c r="O21" s="53"/>
      <c r="Q21" s="42">
        <f t="shared" si="4"/>
        <v>0</v>
      </c>
    </row>
    <row r="22" spans="2:17" hidden="1" x14ac:dyDescent="0.35">
      <c r="B22" s="46"/>
      <c r="D22" s="53">
        <f t="shared" ref="D22" si="19">D44*D65</f>
        <v>0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Q22" s="42">
        <f t="shared" si="4"/>
        <v>0</v>
      </c>
    </row>
    <row r="23" spans="2:17" x14ac:dyDescent="0.35">
      <c r="B23" s="46" t="s">
        <v>89</v>
      </c>
      <c r="D23" s="53">
        <f>D44*D65</f>
        <v>0</v>
      </c>
      <c r="E23" s="53">
        <f t="shared" ref="E23:O23" si="20">E44*E65</f>
        <v>0</v>
      </c>
      <c r="F23" s="53">
        <f t="shared" si="20"/>
        <v>0</v>
      </c>
      <c r="G23" s="53">
        <f t="shared" si="20"/>
        <v>700000</v>
      </c>
      <c r="H23" s="53">
        <f t="shared" si="20"/>
        <v>1295000</v>
      </c>
      <c r="I23" s="53">
        <f t="shared" si="20"/>
        <v>2395750</v>
      </c>
      <c r="J23" s="53">
        <f t="shared" si="20"/>
        <v>4432137.5</v>
      </c>
      <c r="K23" s="53">
        <f t="shared" si="20"/>
        <v>6869813.1250000009</v>
      </c>
      <c r="L23" s="53">
        <f t="shared" si="20"/>
        <v>9617738.375</v>
      </c>
      <c r="M23" s="53">
        <f t="shared" si="20"/>
        <v>12022172.968750002</v>
      </c>
      <c r="N23" s="53">
        <f t="shared" si="20"/>
        <v>15027716.210937502</v>
      </c>
      <c r="O23" s="53">
        <f t="shared" si="20"/>
        <v>18784645.263671875</v>
      </c>
      <c r="Q23" s="42">
        <f t="shared" si="4"/>
        <v>71144973.443359375</v>
      </c>
    </row>
    <row r="24" spans="2:17" x14ac:dyDescent="0.35">
      <c r="B24" s="46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</row>
    <row r="25" spans="2:17" x14ac:dyDescent="0.35"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</row>
    <row r="26" spans="2:17" x14ac:dyDescent="0.35">
      <c r="B26" s="40" t="s">
        <v>7</v>
      </c>
      <c r="D26" s="45"/>
      <c r="H26" s="44"/>
    </row>
    <row r="27" spans="2:17" x14ac:dyDescent="0.35">
      <c r="B27" s="34" t="s">
        <v>79</v>
      </c>
      <c r="D27" s="45"/>
      <c r="H27" s="44"/>
    </row>
    <row r="28" spans="2:17" ht="16" x14ac:dyDescent="0.35">
      <c r="B28" s="43" t="s">
        <v>80</v>
      </c>
      <c r="D28" s="99">
        <v>0</v>
      </c>
      <c r="E28" s="99">
        <v>0</v>
      </c>
      <c r="F28" s="99">
        <v>0</v>
      </c>
      <c r="G28" s="99">
        <f>(40/12)+F28</f>
        <v>3.3333333333333335</v>
      </c>
      <c r="H28" s="99">
        <f t="shared" ref="G28:O30" si="21">(77/12)+G28</f>
        <v>9.75</v>
      </c>
      <c r="I28" s="99">
        <f t="shared" si="21"/>
        <v>16.166666666666668</v>
      </c>
      <c r="J28" s="99">
        <f t="shared" si="21"/>
        <v>22.583333333333336</v>
      </c>
      <c r="K28" s="99">
        <f t="shared" si="21"/>
        <v>29.000000000000004</v>
      </c>
      <c r="L28" s="99">
        <f t="shared" si="21"/>
        <v>35.416666666666671</v>
      </c>
      <c r="M28" s="99">
        <f t="shared" si="21"/>
        <v>41.833333333333336</v>
      </c>
      <c r="N28" s="99">
        <f t="shared" si="21"/>
        <v>48.25</v>
      </c>
      <c r="O28" s="99">
        <f t="shared" si="21"/>
        <v>54.666666666666664</v>
      </c>
      <c r="P28" s="99"/>
      <c r="Q28" s="51">
        <f>SUM(D28:O28)</f>
        <v>261</v>
      </c>
    </row>
    <row r="29" spans="2:17" ht="16" x14ac:dyDescent="0.35">
      <c r="B29" s="43" t="s">
        <v>81</v>
      </c>
      <c r="D29" s="99">
        <v>0</v>
      </c>
      <c r="E29" s="99">
        <v>0</v>
      </c>
      <c r="F29" s="99">
        <v>0</v>
      </c>
      <c r="G29" s="99">
        <f t="shared" si="21"/>
        <v>6.416666666666667</v>
      </c>
      <c r="H29" s="99">
        <f t="shared" si="21"/>
        <v>12.833333333333334</v>
      </c>
      <c r="I29" s="99">
        <f t="shared" si="21"/>
        <v>19.25</v>
      </c>
      <c r="J29" s="99">
        <f t="shared" si="21"/>
        <v>25.666666666666668</v>
      </c>
      <c r="K29" s="99">
        <f t="shared" si="21"/>
        <v>32.083333333333336</v>
      </c>
      <c r="L29" s="99">
        <f t="shared" si="21"/>
        <v>38.5</v>
      </c>
      <c r="M29" s="99">
        <f t="shared" si="21"/>
        <v>44.916666666666664</v>
      </c>
      <c r="N29" s="99">
        <f t="shared" si="21"/>
        <v>51.333333333333329</v>
      </c>
      <c r="O29" s="99">
        <f t="shared" si="21"/>
        <v>57.749999999999993</v>
      </c>
      <c r="P29" s="99"/>
      <c r="Q29" s="51">
        <f>SUM(D29:O29)</f>
        <v>288.75</v>
      </c>
    </row>
    <row r="30" spans="2:17" ht="29" x14ac:dyDescent="0.35">
      <c r="B30" s="43" t="s">
        <v>82</v>
      </c>
      <c r="D30" s="99">
        <v>0</v>
      </c>
      <c r="E30" s="99">
        <v>0</v>
      </c>
      <c r="F30" s="99">
        <v>0</v>
      </c>
      <c r="G30" s="99">
        <f>(40/12)+F30</f>
        <v>3.3333333333333335</v>
      </c>
      <c r="H30" s="99">
        <f t="shared" si="21"/>
        <v>9.75</v>
      </c>
      <c r="I30" s="99">
        <f t="shared" si="21"/>
        <v>16.166666666666668</v>
      </c>
      <c r="J30" s="99">
        <f t="shared" si="21"/>
        <v>22.583333333333336</v>
      </c>
      <c r="K30" s="99">
        <f t="shared" si="21"/>
        <v>29.000000000000004</v>
      </c>
      <c r="L30" s="99">
        <f t="shared" si="21"/>
        <v>35.416666666666671</v>
      </c>
      <c r="M30" s="99">
        <f t="shared" si="21"/>
        <v>41.833333333333336</v>
      </c>
      <c r="N30" s="99">
        <f t="shared" si="21"/>
        <v>48.25</v>
      </c>
      <c r="O30" s="99">
        <f t="shared" si="21"/>
        <v>54.666666666666664</v>
      </c>
      <c r="P30" s="99"/>
      <c r="Q30" s="51">
        <f>SUM(D30:O30)</f>
        <v>261</v>
      </c>
    </row>
    <row r="31" spans="2:17" x14ac:dyDescent="0.35">
      <c r="B31" s="4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Q31" s="51"/>
    </row>
    <row r="32" spans="2:17" s="34" customFormat="1" x14ac:dyDescent="0.35">
      <c r="B32" s="37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</row>
    <row r="33" spans="2:30" s="34" customFormat="1" x14ac:dyDescent="0.35"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2:30" x14ac:dyDescent="0.35">
      <c r="B34" s="47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</row>
    <row r="35" spans="2:30" x14ac:dyDescent="0.35">
      <c r="B35" s="48" t="s">
        <v>74</v>
      </c>
      <c r="C35" s="54"/>
      <c r="D35" s="52"/>
      <c r="H35" s="44"/>
    </row>
    <row r="36" spans="2:30" x14ac:dyDescent="0.35">
      <c r="B36" s="46" t="s">
        <v>75</v>
      </c>
      <c r="C36" s="54"/>
      <c r="D36" s="50">
        <v>9</v>
      </c>
      <c r="E36" s="50">
        <v>12</v>
      </c>
      <c r="F36" s="50">
        <v>28</v>
      </c>
      <c r="G36" s="50">
        <v>32</v>
      </c>
      <c r="H36" s="50">
        <v>38</v>
      </c>
      <c r="I36" s="50">
        <v>45</v>
      </c>
      <c r="J36" s="50">
        <v>55</v>
      </c>
      <c r="K36" s="50">
        <v>65</v>
      </c>
      <c r="L36" s="50">
        <v>75</v>
      </c>
      <c r="M36" s="50">
        <v>85</v>
      </c>
      <c r="N36" s="50">
        <v>95</v>
      </c>
      <c r="O36" s="50">
        <v>105</v>
      </c>
      <c r="Q36" s="51">
        <f>SUM(D36:O36)</f>
        <v>644</v>
      </c>
    </row>
    <row r="37" spans="2:30" hidden="1" x14ac:dyDescent="0.35">
      <c r="B37" s="46" t="s">
        <v>76</v>
      </c>
      <c r="C37" s="54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Q37" s="51">
        <f t="shared" ref="Q37:Q64" si="22">SUM(D37:P37)</f>
        <v>0</v>
      </c>
    </row>
    <row r="38" spans="2:30" hidden="1" x14ac:dyDescent="0.35">
      <c r="B38" s="46" t="s">
        <v>77</v>
      </c>
      <c r="C38" s="54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Q38" s="51">
        <f t="shared" si="22"/>
        <v>0</v>
      </c>
    </row>
    <row r="39" spans="2:30" hidden="1" x14ac:dyDescent="0.35">
      <c r="B39" s="46" t="s">
        <v>78</v>
      </c>
      <c r="C39" s="54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Q39" s="51">
        <f t="shared" si="22"/>
        <v>0</v>
      </c>
    </row>
    <row r="40" spans="2:30" hidden="1" x14ac:dyDescent="0.35">
      <c r="B40" s="46" t="s">
        <v>83</v>
      </c>
      <c r="C40" s="54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Q40" s="51">
        <f t="shared" si="22"/>
        <v>0</v>
      </c>
    </row>
    <row r="41" spans="2:30" ht="29" hidden="1" x14ac:dyDescent="0.35">
      <c r="B41" s="43" t="s">
        <v>87</v>
      </c>
      <c r="C41" s="54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Q41" s="51">
        <f t="shared" si="22"/>
        <v>0</v>
      </c>
    </row>
    <row r="42" spans="2:30" ht="29" hidden="1" x14ac:dyDescent="0.35">
      <c r="B42" s="43" t="s">
        <v>85</v>
      </c>
      <c r="C42" s="54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2"/>
      <c r="Q42" s="51">
        <f t="shared" si="22"/>
        <v>0</v>
      </c>
    </row>
    <row r="43" spans="2:30" hidden="1" x14ac:dyDescent="0.35">
      <c r="B43" s="46" t="s">
        <v>86</v>
      </c>
      <c r="C43" s="54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Q43" s="51">
        <f t="shared" si="22"/>
        <v>0</v>
      </c>
    </row>
    <row r="44" spans="2:30" x14ac:dyDescent="0.35">
      <c r="B44" s="46" t="s">
        <v>88</v>
      </c>
      <c r="C44" s="54"/>
      <c r="D44" s="35">
        <v>0</v>
      </c>
      <c r="E44" s="35">
        <v>0</v>
      </c>
      <c r="F44" s="35">
        <v>0</v>
      </c>
      <c r="G44" s="35">
        <v>10</v>
      </c>
      <c r="H44" s="100">
        <f>G44*1.85</f>
        <v>18.5</v>
      </c>
      <c r="I44" s="100">
        <f t="shared" ref="I44:J44" si="23">H44*1.85</f>
        <v>34.225000000000001</v>
      </c>
      <c r="J44" s="100">
        <f t="shared" si="23"/>
        <v>63.316250000000004</v>
      </c>
      <c r="K44" s="100">
        <f>J44*1.55</f>
        <v>98.14018750000001</v>
      </c>
      <c r="L44" s="100">
        <f>K44*1.4</f>
        <v>137.39626250000001</v>
      </c>
      <c r="M44" s="100">
        <f>L44*1.25</f>
        <v>171.74532812500001</v>
      </c>
      <c r="N44" s="100">
        <f t="shared" ref="N44:O44" si="24">M44*1.25</f>
        <v>214.68166015625002</v>
      </c>
      <c r="O44" s="100">
        <f t="shared" si="24"/>
        <v>268.35207519531252</v>
      </c>
      <c r="Q44" s="51">
        <f>SUM(D44:O44)</f>
        <v>1016.3567634765626</v>
      </c>
      <c r="S44" s="35">
        <v>0</v>
      </c>
      <c r="T44" s="35">
        <v>0</v>
      </c>
      <c r="U44" s="35">
        <v>0</v>
      </c>
      <c r="V44" s="35">
        <v>10</v>
      </c>
      <c r="W44" s="35">
        <v>15</v>
      </c>
      <c r="X44" s="35">
        <v>20</v>
      </c>
      <c r="Y44" s="35">
        <v>25</v>
      </c>
      <c r="Z44" s="35">
        <v>35</v>
      </c>
      <c r="AA44" s="35">
        <v>45</v>
      </c>
      <c r="AB44" s="35">
        <v>55</v>
      </c>
      <c r="AC44" s="35">
        <v>65</v>
      </c>
      <c r="AD44" s="35">
        <v>70</v>
      </c>
    </row>
    <row r="45" spans="2:30" x14ac:dyDescent="0.35">
      <c r="B45" s="46"/>
      <c r="C45" s="54"/>
      <c r="D45" s="50">
        <f>5000/12</f>
        <v>416.66666666666669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Q45" s="51"/>
    </row>
    <row r="46" spans="2:30" x14ac:dyDescent="0.35">
      <c r="B46" s="46"/>
      <c r="C46" s="54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Q46" s="51">
        <f t="shared" si="22"/>
        <v>0</v>
      </c>
    </row>
    <row r="47" spans="2:30" ht="15" thickBot="1" x14ac:dyDescent="0.4">
      <c r="B47" s="40" t="s">
        <v>8</v>
      </c>
      <c r="C47" s="34"/>
      <c r="Q47" s="51">
        <f t="shared" si="22"/>
        <v>0</v>
      </c>
    </row>
    <row r="48" spans="2:30" ht="15" thickBot="1" x14ac:dyDescent="0.4">
      <c r="B48" s="34" t="s">
        <v>79</v>
      </c>
      <c r="C48" s="34"/>
      <c r="D48" s="101" t="s">
        <v>56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3"/>
      <c r="Q48" s="51">
        <f t="shared" si="22"/>
        <v>0</v>
      </c>
    </row>
    <row r="49" spans="2:17" x14ac:dyDescent="0.35">
      <c r="B49" s="43" t="s">
        <v>80</v>
      </c>
      <c r="D49" s="45">
        <v>30000</v>
      </c>
      <c r="E49" s="45">
        <v>30000</v>
      </c>
      <c r="F49" s="45">
        <v>30000</v>
      </c>
      <c r="G49" s="45">
        <v>30000</v>
      </c>
      <c r="H49" s="45">
        <v>30000</v>
      </c>
      <c r="I49" s="45">
        <v>30000</v>
      </c>
      <c r="J49" s="45">
        <v>30000</v>
      </c>
      <c r="K49" s="45">
        <v>30000</v>
      </c>
      <c r="L49" s="45">
        <v>30000</v>
      </c>
      <c r="M49" s="45">
        <v>30000</v>
      </c>
      <c r="N49" s="45">
        <v>30000</v>
      </c>
      <c r="O49" s="45">
        <v>30000</v>
      </c>
      <c r="Q49" s="51">
        <f>SUM(D49:O49)</f>
        <v>360000</v>
      </c>
    </row>
    <row r="50" spans="2:17" x14ac:dyDescent="0.35">
      <c r="B50" s="43" t="s">
        <v>81</v>
      </c>
      <c r="D50" s="45">
        <v>80000</v>
      </c>
      <c r="E50" s="45">
        <v>80000</v>
      </c>
      <c r="F50" s="45">
        <v>80000</v>
      </c>
      <c r="G50" s="45">
        <v>80000</v>
      </c>
      <c r="H50" s="45">
        <v>80000</v>
      </c>
      <c r="I50" s="45">
        <v>80000</v>
      </c>
      <c r="J50" s="45">
        <v>80000</v>
      </c>
      <c r="K50" s="45">
        <v>80000</v>
      </c>
      <c r="L50" s="45">
        <v>80000</v>
      </c>
      <c r="M50" s="45">
        <v>80000</v>
      </c>
      <c r="N50" s="45">
        <v>80000</v>
      </c>
      <c r="O50" s="45">
        <v>80000</v>
      </c>
      <c r="Q50" s="51">
        <f>SUM(D50:O50)</f>
        <v>960000</v>
      </c>
    </row>
    <row r="51" spans="2:17" ht="29" x14ac:dyDescent="0.35">
      <c r="B51" s="43" t="s">
        <v>82</v>
      </c>
      <c r="D51" s="44">
        <v>50000</v>
      </c>
      <c r="E51" s="44">
        <v>50000</v>
      </c>
      <c r="F51" s="44">
        <v>50000</v>
      </c>
      <c r="G51" s="44">
        <v>50000</v>
      </c>
      <c r="H51" s="53">
        <v>50000</v>
      </c>
      <c r="I51" s="53">
        <v>50000</v>
      </c>
      <c r="J51" s="53">
        <v>50000</v>
      </c>
      <c r="K51" s="53">
        <v>50000</v>
      </c>
      <c r="L51" s="53">
        <v>50000</v>
      </c>
      <c r="M51" s="53">
        <v>50000</v>
      </c>
      <c r="N51" s="53">
        <v>50000</v>
      </c>
      <c r="O51" s="53">
        <v>50000</v>
      </c>
      <c r="Q51" s="51">
        <f>SUM(D51:O51)</f>
        <v>600000</v>
      </c>
    </row>
    <row r="52" spans="2:17" ht="29" hidden="1" x14ac:dyDescent="0.35">
      <c r="B52" s="43" t="s">
        <v>84</v>
      </c>
      <c r="D52" s="44">
        <v>2000000</v>
      </c>
      <c r="E52" s="44">
        <v>2000000</v>
      </c>
      <c r="F52" s="44">
        <v>2000000</v>
      </c>
      <c r="G52" s="44">
        <v>2000000</v>
      </c>
      <c r="H52" s="53">
        <v>2000000</v>
      </c>
      <c r="I52" s="53">
        <v>2000000</v>
      </c>
      <c r="J52" s="53">
        <v>2000000</v>
      </c>
      <c r="K52" s="53">
        <v>2000000</v>
      </c>
      <c r="L52" s="53">
        <v>2000000</v>
      </c>
      <c r="M52" s="53">
        <v>2000000</v>
      </c>
      <c r="N52" s="53">
        <v>2000000</v>
      </c>
      <c r="O52" s="53">
        <v>2000000</v>
      </c>
      <c r="Q52" s="51">
        <f t="shared" si="22"/>
        <v>24000000</v>
      </c>
    </row>
    <row r="53" spans="2:17" s="34" customFormat="1" x14ac:dyDescent="0.35">
      <c r="B53" s="37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Q53" s="51">
        <f t="shared" si="22"/>
        <v>0</v>
      </c>
    </row>
    <row r="54" spans="2:17" s="34" customFormat="1" x14ac:dyDescent="0.35"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Q54" s="51">
        <f t="shared" si="22"/>
        <v>0</v>
      </c>
    </row>
    <row r="55" spans="2:17" ht="15" thickBot="1" x14ac:dyDescent="0.4">
      <c r="B55" s="47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Q55" s="51">
        <f t="shared" si="22"/>
        <v>0</v>
      </c>
    </row>
    <row r="56" spans="2:17" ht="15" thickBot="1" x14ac:dyDescent="0.4">
      <c r="B56" s="48" t="s">
        <v>74</v>
      </c>
      <c r="C56" s="54"/>
      <c r="D56" s="101" t="s">
        <v>56</v>
      </c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3"/>
      <c r="Q56" s="51">
        <f t="shared" si="22"/>
        <v>0</v>
      </c>
    </row>
    <row r="57" spans="2:17" x14ac:dyDescent="0.35">
      <c r="B57" s="46" t="s">
        <v>75</v>
      </c>
      <c r="C57" s="54"/>
      <c r="D57" s="44">
        <v>90000</v>
      </c>
      <c r="E57" s="44">
        <v>100000</v>
      </c>
      <c r="F57" s="44">
        <v>100000</v>
      </c>
      <c r="G57" s="44">
        <v>115000</v>
      </c>
      <c r="H57" s="44">
        <v>115000</v>
      </c>
      <c r="I57" s="44">
        <v>115000</v>
      </c>
      <c r="J57" s="44">
        <v>115000</v>
      </c>
      <c r="K57" s="44">
        <v>115000</v>
      </c>
      <c r="L57" s="44">
        <v>115000</v>
      </c>
      <c r="M57" s="44">
        <v>115000</v>
      </c>
      <c r="N57" s="44">
        <v>115000</v>
      </c>
      <c r="O57" s="44">
        <v>115000</v>
      </c>
      <c r="Q57" s="51">
        <f>SUM(D57:O57)</f>
        <v>1325000</v>
      </c>
    </row>
    <row r="58" spans="2:17" hidden="1" x14ac:dyDescent="0.35">
      <c r="B58" s="46" t="s">
        <v>76</v>
      </c>
      <c r="C58" s="5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Q58" s="51">
        <f t="shared" si="22"/>
        <v>0</v>
      </c>
    </row>
    <row r="59" spans="2:17" hidden="1" x14ac:dyDescent="0.35">
      <c r="B59" s="46" t="s">
        <v>77</v>
      </c>
      <c r="C59" s="5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Q59" s="51">
        <f t="shared" si="22"/>
        <v>0</v>
      </c>
    </row>
    <row r="60" spans="2:17" hidden="1" x14ac:dyDescent="0.35">
      <c r="B60" s="46" t="s">
        <v>78</v>
      </c>
      <c r="C60" s="5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Q60" s="51">
        <f t="shared" si="22"/>
        <v>0</v>
      </c>
    </row>
    <row r="61" spans="2:17" hidden="1" x14ac:dyDescent="0.35">
      <c r="B61" s="46" t="s">
        <v>83</v>
      </c>
      <c r="C61" s="5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Q61" s="51">
        <f t="shared" si="22"/>
        <v>0</v>
      </c>
    </row>
    <row r="62" spans="2:17" ht="29" hidden="1" x14ac:dyDescent="0.35">
      <c r="B62" s="43" t="s">
        <v>87</v>
      </c>
      <c r="C62" s="5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Q62" s="51">
        <f t="shared" si="22"/>
        <v>0</v>
      </c>
    </row>
    <row r="63" spans="2:17" ht="29" hidden="1" x14ac:dyDescent="0.35">
      <c r="B63" s="43" t="s">
        <v>85</v>
      </c>
      <c r="C63" s="5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Q63" s="51">
        <f t="shared" si="22"/>
        <v>0</v>
      </c>
    </row>
    <row r="64" spans="2:17" hidden="1" x14ac:dyDescent="0.35">
      <c r="B64" s="46" t="s">
        <v>86</v>
      </c>
      <c r="C64" s="5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Q64" s="51">
        <f t="shared" si="22"/>
        <v>0</v>
      </c>
    </row>
    <row r="65" spans="2:17" x14ac:dyDescent="0.35">
      <c r="B65" s="46" t="s">
        <v>88</v>
      </c>
      <c r="C65" s="54"/>
      <c r="D65" s="44">
        <v>70000</v>
      </c>
      <c r="E65" s="44">
        <v>70000</v>
      </c>
      <c r="F65" s="44">
        <v>70000</v>
      </c>
      <c r="G65" s="44">
        <v>70000</v>
      </c>
      <c r="H65" s="44">
        <v>70000</v>
      </c>
      <c r="I65" s="44">
        <v>70000</v>
      </c>
      <c r="J65" s="44">
        <v>70000</v>
      </c>
      <c r="K65" s="44">
        <v>70000</v>
      </c>
      <c r="L65" s="44">
        <v>70000</v>
      </c>
      <c r="M65" s="44">
        <v>70000</v>
      </c>
      <c r="N65" s="44">
        <v>70000</v>
      </c>
      <c r="O65" s="44">
        <v>70000</v>
      </c>
      <c r="Q65" s="51">
        <f>SUM(D65:O65)</f>
        <v>840000</v>
      </c>
    </row>
    <row r="66" spans="2:17" x14ac:dyDescent="0.35">
      <c r="B66" s="46"/>
      <c r="C66" s="5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</row>
    <row r="67" spans="2:17" x14ac:dyDescent="0.35">
      <c r="B67" s="46"/>
      <c r="C67" s="54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</row>
    <row r="68" spans="2:17" x14ac:dyDescent="0.35">
      <c r="B68" s="46"/>
      <c r="C68" s="54"/>
      <c r="D68" s="49"/>
    </row>
    <row r="69" spans="2:17" x14ac:dyDescent="0.35">
      <c r="B69" s="40" t="s">
        <v>54</v>
      </c>
    </row>
    <row r="70" spans="2:17" ht="14.5" customHeight="1" x14ac:dyDescent="0.35">
      <c r="B70" s="38"/>
      <c r="C70" s="38"/>
      <c r="D70" s="34" t="s">
        <v>45</v>
      </c>
      <c r="E70" s="34" t="s">
        <v>48</v>
      </c>
      <c r="F70" s="34" t="s">
        <v>49</v>
      </c>
      <c r="G70" s="34" t="s">
        <v>50</v>
      </c>
      <c r="H70" s="34" t="s">
        <v>51</v>
      </c>
    </row>
    <row r="71" spans="2:17" x14ac:dyDescent="0.35">
      <c r="B71" s="38" t="s">
        <v>36</v>
      </c>
      <c r="C71" s="38"/>
      <c r="E71" s="55">
        <v>0.15</v>
      </c>
      <c r="F71" s="55">
        <v>0.15</v>
      </c>
      <c r="G71" s="55">
        <v>0.15</v>
      </c>
      <c r="H71" s="55">
        <v>0.15</v>
      </c>
      <c r="I71" s="55"/>
      <c r="J71" s="56"/>
      <c r="K71" s="56"/>
      <c r="L71" s="56"/>
      <c r="M71" s="56"/>
      <c r="N71" s="56"/>
    </row>
    <row r="72" spans="2:17" x14ac:dyDescent="0.35">
      <c r="B72" s="38" t="s">
        <v>37</v>
      </c>
      <c r="C72" s="38"/>
      <c r="E72" s="55">
        <v>0.15</v>
      </c>
      <c r="F72" s="55">
        <v>0.15</v>
      </c>
      <c r="G72" s="55">
        <v>0.15</v>
      </c>
      <c r="H72" s="55">
        <v>0.15</v>
      </c>
      <c r="I72" s="55"/>
      <c r="J72" s="56"/>
      <c r="K72" s="56"/>
      <c r="L72" s="56"/>
      <c r="M72" s="56"/>
      <c r="N72" s="56"/>
    </row>
    <row r="73" spans="2:17" x14ac:dyDescent="0.35">
      <c r="B73" s="38"/>
      <c r="C73" s="38"/>
      <c r="E73" s="55"/>
      <c r="F73" s="55"/>
      <c r="G73" s="55"/>
      <c r="H73" s="55"/>
      <c r="I73" s="55"/>
      <c r="J73" s="56"/>
      <c r="K73" s="61" t="s">
        <v>60</v>
      </c>
      <c r="L73" s="56"/>
      <c r="M73" s="56"/>
      <c r="N73" s="56"/>
    </row>
    <row r="74" spans="2:17" x14ac:dyDescent="0.35">
      <c r="B74" s="37" t="s">
        <v>39</v>
      </c>
      <c r="C74" s="50">
        <v>10</v>
      </c>
      <c r="E74" s="55">
        <v>0.2</v>
      </c>
      <c r="F74" s="55">
        <v>0.2</v>
      </c>
      <c r="G74" s="55">
        <v>0.2</v>
      </c>
      <c r="H74" s="55">
        <v>0.2</v>
      </c>
      <c r="I74" s="55"/>
      <c r="J74" s="56"/>
      <c r="K74" s="62">
        <f>Q5+Q13</f>
        <v>175309973.44335938</v>
      </c>
      <c r="L74" s="56"/>
      <c r="M74" s="56"/>
      <c r="N74" s="56"/>
    </row>
    <row r="75" spans="2:17" x14ac:dyDescent="0.35">
      <c r="B75" s="37" t="s">
        <v>55</v>
      </c>
      <c r="C75" s="57">
        <v>0.18</v>
      </c>
      <c r="D75" s="45">
        <f>C75*K74</f>
        <v>31555795.219804686</v>
      </c>
      <c r="E75" s="55">
        <v>0.1</v>
      </c>
      <c r="F75" s="55">
        <v>0.08</v>
      </c>
      <c r="G75" s="55">
        <v>0.08</v>
      </c>
      <c r="H75" s="55">
        <v>0.06</v>
      </c>
      <c r="I75" s="59" t="s">
        <v>59</v>
      </c>
      <c r="J75" s="56"/>
      <c r="K75" s="62"/>
      <c r="L75" s="56"/>
      <c r="M75" s="56"/>
      <c r="N75" s="56"/>
    </row>
    <row r="76" spans="2:17" x14ac:dyDescent="0.35">
      <c r="B76" s="37" t="s">
        <v>66</v>
      </c>
      <c r="C76" s="57">
        <v>0.05</v>
      </c>
      <c r="D76" s="45">
        <f>C76*K82</f>
        <v>13507722.2685</v>
      </c>
      <c r="E76" s="55"/>
      <c r="F76" s="55"/>
      <c r="G76" s="55"/>
      <c r="H76" s="55"/>
      <c r="I76" s="59" t="s">
        <v>58</v>
      </c>
      <c r="J76" s="56"/>
      <c r="K76" s="62"/>
      <c r="L76" s="56"/>
      <c r="M76" s="56"/>
      <c r="N76" s="56"/>
    </row>
    <row r="77" spans="2:17" x14ac:dyDescent="0.35">
      <c r="B77" s="37" t="s">
        <v>73</v>
      </c>
      <c r="C77" s="63">
        <v>0.01</v>
      </c>
      <c r="D77" s="45">
        <f>C77*K74</f>
        <v>1753099.7344335937</v>
      </c>
      <c r="E77" s="55"/>
      <c r="F77" s="55"/>
      <c r="G77" s="55"/>
      <c r="H77" s="55"/>
      <c r="I77" s="59"/>
      <c r="J77" s="56"/>
      <c r="K77" s="62"/>
      <c r="L77" s="56"/>
      <c r="M77" s="56"/>
      <c r="N77" s="56"/>
    </row>
    <row r="78" spans="2:17" ht="13.5" customHeight="1" x14ac:dyDescent="0.35">
      <c r="C78" s="57"/>
      <c r="D78" s="45">
        <f>C78*K74</f>
        <v>0</v>
      </c>
      <c r="E78" s="55">
        <v>0.1</v>
      </c>
      <c r="F78" s="55">
        <v>0.08</v>
      </c>
      <c r="G78" s="55">
        <v>0.05</v>
      </c>
      <c r="H78" s="55">
        <v>0.05</v>
      </c>
      <c r="I78" s="59" t="s">
        <v>59</v>
      </c>
      <c r="J78" s="56"/>
      <c r="K78" s="62"/>
      <c r="L78" s="56"/>
      <c r="M78" s="56"/>
      <c r="N78" s="56"/>
    </row>
    <row r="79" spans="2:17" ht="13.5" customHeight="1" x14ac:dyDescent="0.35">
      <c r="C79" s="57"/>
      <c r="D79" s="45">
        <f>SUM(D75:D78)</f>
        <v>46816617.222738281</v>
      </c>
      <c r="E79" s="55"/>
      <c r="F79" s="55"/>
      <c r="G79" s="55"/>
      <c r="H79" s="55"/>
      <c r="I79" s="59"/>
      <c r="J79" s="56"/>
      <c r="K79" s="62"/>
      <c r="L79" s="56"/>
      <c r="M79" s="56"/>
      <c r="N79" s="56"/>
    </row>
    <row r="80" spans="2:17" x14ac:dyDescent="0.35">
      <c r="K80" s="62"/>
    </row>
    <row r="81" spans="2:11" x14ac:dyDescent="0.35">
      <c r="B81" s="37" t="s">
        <v>31</v>
      </c>
      <c r="K81" s="62" t="s">
        <v>61</v>
      </c>
    </row>
    <row r="82" spans="2:11" x14ac:dyDescent="0.35">
      <c r="B82" s="58" t="s">
        <v>30</v>
      </c>
      <c r="C82" s="57"/>
      <c r="D82" s="96">
        <f>K82*C82</f>
        <v>0</v>
      </c>
      <c r="E82" s="55">
        <v>0.1</v>
      </c>
      <c r="F82" s="55">
        <v>0.1</v>
      </c>
      <c r="G82" s="55">
        <v>0.1</v>
      </c>
      <c r="H82" s="55">
        <v>0.1</v>
      </c>
      <c r="I82" s="59" t="s">
        <v>58</v>
      </c>
      <c r="K82" s="53">
        <v>270154445.37</v>
      </c>
    </row>
    <row r="83" spans="2:11" x14ac:dyDescent="0.35">
      <c r="B83" s="58" t="s">
        <v>29</v>
      </c>
      <c r="C83" s="57">
        <v>0.02</v>
      </c>
      <c r="D83" s="97">
        <f>D79*C83</f>
        <v>936332.34445476567</v>
      </c>
      <c r="E83" s="56"/>
      <c r="F83" s="56"/>
      <c r="G83" s="56"/>
      <c r="H83" s="56"/>
      <c r="I83" s="37" t="s">
        <v>34</v>
      </c>
    </row>
    <row r="84" spans="2:11" x14ac:dyDescent="0.35">
      <c r="B84" s="58" t="s">
        <v>28</v>
      </c>
      <c r="C84" s="63">
        <v>5.0000000000000001E-4</v>
      </c>
      <c r="D84" s="97">
        <f>C84*D79</f>
        <v>23408.308611369142</v>
      </c>
      <c r="E84" s="56"/>
      <c r="F84" s="56"/>
      <c r="G84" s="56"/>
      <c r="H84" s="56"/>
      <c r="I84" s="37" t="s">
        <v>35</v>
      </c>
    </row>
    <row r="85" spans="2:11" x14ac:dyDescent="0.35">
      <c r="B85" s="58" t="s">
        <v>63</v>
      </c>
      <c r="D85" s="96">
        <v>6000000</v>
      </c>
      <c r="E85" s="56"/>
      <c r="F85" s="56"/>
      <c r="G85" s="56"/>
      <c r="H85" s="56"/>
      <c r="I85" s="60" t="s">
        <v>62</v>
      </c>
    </row>
    <row r="86" spans="2:11" x14ac:dyDescent="0.35">
      <c r="B86" s="58" t="s">
        <v>57</v>
      </c>
      <c r="D86" s="96">
        <v>50000</v>
      </c>
      <c r="F86" s="56"/>
      <c r="G86" s="56"/>
      <c r="H86" s="56"/>
      <c r="I86" s="60" t="s">
        <v>64</v>
      </c>
    </row>
    <row r="87" spans="2:11" x14ac:dyDescent="0.35">
      <c r="B87" s="58" t="s">
        <v>26</v>
      </c>
      <c r="D87" s="96">
        <v>400000</v>
      </c>
      <c r="E87" s="56"/>
      <c r="F87" s="56"/>
      <c r="G87" s="56"/>
      <c r="H87" s="56"/>
      <c r="I87" s="56"/>
    </row>
    <row r="88" spans="2:11" x14ac:dyDescent="0.35">
      <c r="B88" s="58" t="s">
        <v>47</v>
      </c>
      <c r="D88" s="96">
        <v>0</v>
      </c>
      <c r="E88" s="56"/>
      <c r="F88" s="56"/>
      <c r="G88" s="56"/>
      <c r="H88" s="56"/>
      <c r="I88" s="56"/>
    </row>
    <row r="89" spans="2:11" x14ac:dyDescent="0.35">
      <c r="B89" s="58" t="s">
        <v>46</v>
      </c>
      <c r="D89" s="96">
        <v>0</v>
      </c>
      <c r="E89" s="56"/>
      <c r="F89" s="56"/>
      <c r="G89" s="56"/>
      <c r="H89" s="56"/>
      <c r="I89" s="56"/>
    </row>
    <row r="90" spans="2:11" x14ac:dyDescent="0.35">
      <c r="B90" s="58" t="s">
        <v>23</v>
      </c>
      <c r="D90" s="96">
        <v>0</v>
      </c>
      <c r="E90" s="56"/>
      <c r="F90" s="56"/>
      <c r="G90" s="56"/>
      <c r="H90" s="56"/>
      <c r="I90" s="56"/>
    </row>
    <row r="91" spans="2:11" x14ac:dyDescent="0.35">
      <c r="B91" s="58" t="s">
        <v>22</v>
      </c>
      <c r="D91" s="96">
        <v>50000</v>
      </c>
      <c r="E91" s="56"/>
      <c r="F91" s="56"/>
      <c r="G91" s="56"/>
      <c r="H91" s="56"/>
      <c r="I91" s="56"/>
    </row>
    <row r="92" spans="2:11" x14ac:dyDescent="0.35">
      <c r="B92" s="58" t="s">
        <v>69</v>
      </c>
      <c r="D92" s="96">
        <v>100000</v>
      </c>
      <c r="E92" s="56"/>
      <c r="F92" s="56"/>
      <c r="G92" s="56"/>
      <c r="H92" s="56"/>
      <c r="I92" s="56"/>
    </row>
    <row r="93" spans="2:11" x14ac:dyDescent="0.35">
      <c r="B93" s="58" t="s">
        <v>70</v>
      </c>
      <c r="D93" s="96">
        <v>50000</v>
      </c>
      <c r="E93" s="56"/>
      <c r="F93" s="56"/>
      <c r="G93" s="56"/>
      <c r="H93" s="56"/>
      <c r="I93" s="56"/>
    </row>
    <row r="94" spans="2:11" x14ac:dyDescent="0.35">
      <c r="B94" s="37" t="s">
        <v>71</v>
      </c>
      <c r="D94" s="96">
        <v>50000</v>
      </c>
    </row>
    <row r="95" spans="2:11" x14ac:dyDescent="0.35">
      <c r="D95" s="97"/>
    </row>
    <row r="96" spans="2:11" x14ac:dyDescent="0.35">
      <c r="D96" s="97"/>
    </row>
    <row r="97" spans="4:4" x14ac:dyDescent="0.35">
      <c r="D97" s="97"/>
    </row>
    <row r="98" spans="4:4" x14ac:dyDescent="0.35">
      <c r="D98" s="97"/>
    </row>
    <row r="99" spans="4:4" x14ac:dyDescent="0.35">
      <c r="D99" s="97"/>
    </row>
    <row r="100" spans="4:4" x14ac:dyDescent="0.35">
      <c r="D100" s="97"/>
    </row>
    <row r="101" spans="4:4" x14ac:dyDescent="0.35">
      <c r="D101" s="97"/>
    </row>
    <row r="102" spans="4:4" x14ac:dyDescent="0.35">
      <c r="D102" s="97"/>
    </row>
    <row r="103" spans="4:4" x14ac:dyDescent="0.35">
      <c r="D103" s="97"/>
    </row>
    <row r="104" spans="4:4" x14ac:dyDescent="0.35">
      <c r="D104" s="97"/>
    </row>
    <row r="105" spans="4:4" x14ac:dyDescent="0.35">
      <c r="D105" s="97"/>
    </row>
    <row r="106" spans="4:4" x14ac:dyDescent="0.35">
      <c r="D106" s="97"/>
    </row>
    <row r="107" spans="4:4" x14ac:dyDescent="0.35">
      <c r="D107" s="97"/>
    </row>
    <row r="108" spans="4:4" x14ac:dyDescent="0.35">
      <c r="D108" s="97"/>
    </row>
    <row r="109" spans="4:4" x14ac:dyDescent="0.35">
      <c r="D109" s="97"/>
    </row>
  </sheetData>
  <mergeCells count="2">
    <mergeCell ref="D56:O56"/>
    <mergeCell ref="D48:O48"/>
  </mergeCells>
  <phoneticPr fontId="4" type="noConversion"/>
  <dataValidations count="1">
    <dataValidation type="list" allowBlank="1" showInputMessage="1" showErrorMessage="1" sqref="C5 C10:C11 C32:C33 C53:C54" xr:uid="{57E6DC3C-C991-4DFC-8F74-1E542A65FFBF}">
      <formula1>"Upside,Downside,Base case"</formula1>
    </dataValidation>
  </dataValidations>
  <pageMargins left="0.7" right="0.7" top="0.75" bottom="0.75" header="0.3" footer="0.3"/>
  <pageSetup scale="51" orientation="portrait" r:id="rId1"/>
  <rowBreaks count="1" manualBreakCount="1">
    <brk id="6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809C-B8C5-4DF2-8BA1-91FBEDEF5392}">
  <sheetPr>
    <outlinePr summaryRight="0"/>
  </sheetPr>
  <dimension ref="A2:Y52"/>
  <sheetViews>
    <sheetView showGridLines="0" tabSelected="1" view="pageBreakPreview" zoomScaleNormal="100" zoomScaleSheetLayoutView="100" workbookViewId="0">
      <pane xSplit="3" ySplit="4" topLeftCell="H5" activePane="bottomRight" state="frozen"/>
      <selection pane="topRight" activeCell="D1" sqref="D1"/>
      <selection pane="bottomLeft" activeCell="A5" sqref="A5"/>
      <selection pane="bottomRight" activeCell="P9" sqref="P9"/>
    </sheetView>
  </sheetViews>
  <sheetFormatPr defaultColWidth="9.1796875" defaultRowHeight="16" outlineLevelRow="1" outlineLevelCol="1" x14ac:dyDescent="0.35"/>
  <cols>
    <col min="1" max="1" width="1.453125" style="69" customWidth="1"/>
    <col min="2" max="2" width="36.54296875" style="77" bestFit="1" customWidth="1"/>
    <col min="3" max="3" width="6.81640625" style="69" bestFit="1" customWidth="1"/>
    <col min="4" max="5" width="12.1796875" style="69" bestFit="1" customWidth="1" outlineLevel="1"/>
    <col min="6" max="15" width="13.1796875" style="69" customWidth="1" outlineLevel="1"/>
    <col min="16" max="16" width="15" style="73" bestFit="1" customWidth="1" collapsed="1"/>
    <col min="17" max="20" width="21.1796875" style="78" hidden="1" customWidth="1" outlineLevel="1"/>
    <col min="21" max="21" width="21.81640625" style="69" customWidth="1"/>
    <col min="22" max="16384" width="9.1796875" style="69"/>
  </cols>
  <sheetData>
    <row r="2" spans="1:25" ht="16.5" thickBot="1" x14ac:dyDescent="0.4">
      <c r="A2" s="64" t="s">
        <v>52</v>
      </c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  <c r="R2" s="67"/>
      <c r="S2" s="67"/>
      <c r="T2" s="67"/>
      <c r="U2" s="68"/>
    </row>
    <row r="3" spans="1:25" s="73" customFormat="1" ht="17" thickTop="1" thickBot="1" x14ac:dyDescent="0.4">
      <c r="A3" s="70"/>
      <c r="B3" s="71"/>
      <c r="C3" s="70"/>
      <c r="D3" s="72" t="s">
        <v>10</v>
      </c>
      <c r="E3" s="72" t="s">
        <v>11</v>
      </c>
      <c r="F3" s="72" t="s">
        <v>12</v>
      </c>
      <c r="G3" s="72" t="s">
        <v>13</v>
      </c>
      <c r="H3" s="72" t="s">
        <v>0</v>
      </c>
      <c r="I3" s="72" t="s">
        <v>14</v>
      </c>
      <c r="J3" s="72" t="s">
        <v>15</v>
      </c>
      <c r="K3" s="72" t="s">
        <v>16</v>
      </c>
      <c r="L3" s="72" t="s">
        <v>17</v>
      </c>
      <c r="M3" s="72" t="s">
        <v>18</v>
      </c>
      <c r="N3" s="72" t="s">
        <v>19</v>
      </c>
      <c r="O3" s="72" t="s">
        <v>20</v>
      </c>
      <c r="P3" s="70" t="s">
        <v>45</v>
      </c>
      <c r="Q3" s="70" t="s">
        <v>48</v>
      </c>
      <c r="R3" s="70" t="s">
        <v>49</v>
      </c>
      <c r="S3" s="70" t="s">
        <v>50</v>
      </c>
      <c r="T3" s="70" t="s">
        <v>51</v>
      </c>
      <c r="U3" s="68"/>
      <c r="V3" s="69"/>
      <c r="W3" s="69"/>
      <c r="X3" s="69"/>
      <c r="Y3" s="69"/>
    </row>
    <row r="4" spans="1:25" ht="17" thickTop="1" thickBot="1" x14ac:dyDescent="0.4">
      <c r="A4" s="70"/>
      <c r="B4" s="71"/>
      <c r="C4" s="70"/>
      <c r="D4" s="70" t="s">
        <v>1</v>
      </c>
      <c r="E4" s="70" t="s">
        <v>1</v>
      </c>
      <c r="F4" s="70" t="s">
        <v>1</v>
      </c>
      <c r="G4" s="70" t="s">
        <v>1</v>
      </c>
      <c r="H4" s="70" t="s">
        <v>1</v>
      </c>
      <c r="I4" s="70" t="s">
        <v>1</v>
      </c>
      <c r="J4" s="70" t="s">
        <v>1</v>
      </c>
      <c r="K4" s="70" t="s">
        <v>1</v>
      </c>
      <c r="L4" s="70" t="s">
        <v>1</v>
      </c>
      <c r="M4" s="70" t="s">
        <v>1</v>
      </c>
      <c r="N4" s="70" t="s">
        <v>1</v>
      </c>
      <c r="O4" s="70" t="s">
        <v>1</v>
      </c>
      <c r="P4" s="70" t="s">
        <v>1</v>
      </c>
      <c r="Q4" s="70" t="s">
        <v>1</v>
      </c>
      <c r="R4" s="70" t="s">
        <v>1</v>
      </c>
      <c r="S4" s="70" t="s">
        <v>1</v>
      </c>
      <c r="T4" s="70" t="s">
        <v>1</v>
      </c>
      <c r="U4" s="68"/>
    </row>
    <row r="5" spans="1:25" ht="18" customHeight="1" thickTop="1" thickBot="1" x14ac:dyDescent="0.4">
      <c r="B5" s="74" t="s">
        <v>2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6"/>
      <c r="R5" s="76"/>
      <c r="S5" s="76"/>
      <c r="T5" s="76"/>
      <c r="U5" s="68"/>
    </row>
    <row r="6" spans="1:25" x14ac:dyDescent="0.35">
      <c r="B6" s="77" t="str">
        <f>'Assumption-(OH)'!B4</f>
        <v xml:space="preserve">Travel Health Consultancy </v>
      </c>
      <c r="D6" s="89">
        <f>'Assumption-(OH)'!D5</f>
        <v>0</v>
      </c>
      <c r="E6" s="89">
        <f>'Assumption-(OH)'!E5</f>
        <v>0</v>
      </c>
      <c r="F6" s="89">
        <f>'Assumption-(OH)'!F5</f>
        <v>0</v>
      </c>
      <c r="G6" s="89">
        <f>'Assumption-(OH)'!G5</f>
        <v>613333.33333333337</v>
      </c>
      <c r="H6" s="89">
        <f>'Assumption-(OH)'!H5</f>
        <v>1319166.6666666667</v>
      </c>
      <c r="I6" s="89">
        <f>'Assumption-(OH)'!I5</f>
        <v>2025000</v>
      </c>
      <c r="J6" s="89">
        <f>'Assumption-(OH)'!J5</f>
        <v>2730833.3333333335</v>
      </c>
      <c r="K6" s="89">
        <f>'Assumption-(OH)'!K5</f>
        <v>3436666.666666667</v>
      </c>
      <c r="L6" s="89">
        <f>'Assumption-(OH)'!L5</f>
        <v>4142500</v>
      </c>
      <c r="M6" s="89">
        <f>'Assumption-(OH)'!M5</f>
        <v>4848333.333333333</v>
      </c>
      <c r="N6" s="89">
        <f>'Assumption-(OH)'!N5</f>
        <v>5554166.666666666</v>
      </c>
      <c r="O6" s="89">
        <f>'Assumption-(OH)'!O5</f>
        <v>6259999.9999999991</v>
      </c>
      <c r="P6" s="90">
        <f>SUM(D6:O6)</f>
        <v>30930000</v>
      </c>
      <c r="Q6" s="79">
        <f>P6*(1+'Assumption-(OH)'!E$71)*(1+'Assumption-(OH)'!E$74)</f>
        <v>42683400</v>
      </c>
      <c r="R6" s="79">
        <f>Q6*(1+'Assumption-(OH)'!F$71)*(1+'Assumption-(OH)'!F$74)</f>
        <v>58903091.999999993</v>
      </c>
      <c r="S6" s="79">
        <f>R6*(1+'Assumption-(OH)'!G$71)*(1+'Assumption-(OH)'!G$74)</f>
        <v>81286266.959999979</v>
      </c>
      <c r="T6" s="79">
        <f>S6*(1+'Assumption-(OH)'!H$71)*(1+'Assumption-(OH)'!H$74)</f>
        <v>112175048.40479995</v>
      </c>
      <c r="U6" s="68"/>
    </row>
    <row r="7" spans="1:25" x14ac:dyDescent="0.35">
      <c r="B7" s="77" t="str">
        <f>'Assumption-(OH)'!B13</f>
        <v>IMEs</v>
      </c>
      <c r="D7" s="89">
        <f>'Assumption-(OH)'!D13</f>
        <v>810000</v>
      </c>
      <c r="E7" s="89">
        <f>'Assumption-(OH)'!E13</f>
        <v>1200000</v>
      </c>
      <c r="F7" s="89">
        <f>'Assumption-(OH)'!F13</f>
        <v>2800000</v>
      </c>
      <c r="G7" s="89">
        <f>'Assumption-(OH)'!G13</f>
        <v>4380000</v>
      </c>
      <c r="H7" s="89">
        <f>'Assumption-(OH)'!H13</f>
        <v>5665000</v>
      </c>
      <c r="I7" s="89">
        <f>'Assumption-(OH)'!I13</f>
        <v>7570750</v>
      </c>
      <c r="J7" s="89">
        <f>'Assumption-(OH)'!J13</f>
        <v>10757137.5</v>
      </c>
      <c r="K7" s="89">
        <f>'Assumption-(OH)'!K13</f>
        <v>14344813.125</v>
      </c>
      <c r="L7" s="89">
        <f>'Assumption-(OH)'!L13</f>
        <v>18242738.375</v>
      </c>
      <c r="M7" s="89">
        <f>'Assumption-(OH)'!M13</f>
        <v>21797172.96875</v>
      </c>
      <c r="N7" s="89">
        <f>'Assumption-(OH)'!N13</f>
        <v>25952716.2109375</v>
      </c>
      <c r="O7" s="89">
        <f>'Assumption-(OH)'!O13</f>
        <v>30859645.263671875</v>
      </c>
      <c r="P7" s="90">
        <f>SUM(D7:O7)</f>
        <v>144379973.44335938</v>
      </c>
      <c r="Q7" s="79">
        <f>P7*(1+'Assumption-(OH)'!E$71)*(1+'Assumption-(OH)'!E$74)</f>
        <v>199244363.35183594</v>
      </c>
      <c r="R7" s="79">
        <f>Q7*(1+'Assumption-(OH)'!F$71)*(1+'Assumption-(OH)'!F$74)</f>
        <v>274957221.42553353</v>
      </c>
      <c r="S7" s="79">
        <f>R7*(1+'Assumption-(OH)'!G$71)*(1+'Assumption-(OH)'!G$74)</f>
        <v>379440965.56723624</v>
      </c>
      <c r="T7" s="79">
        <f>S7*(1+'Assumption-(OH)'!H$71)*(1+'Assumption-(OH)'!H$74)</f>
        <v>523628532.48278594</v>
      </c>
      <c r="U7" s="68"/>
    </row>
    <row r="8" spans="1:25" ht="16.5" thickBot="1" x14ac:dyDescent="0.4">
      <c r="B8" s="74"/>
      <c r="C8" s="74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2"/>
      <c r="Q8" s="80"/>
      <c r="R8" s="80"/>
      <c r="S8" s="80"/>
      <c r="T8" s="80"/>
      <c r="U8" s="68"/>
    </row>
    <row r="9" spans="1:25" s="73" customFormat="1" ht="16.5" thickBot="1" x14ac:dyDescent="0.4">
      <c r="B9" s="74" t="s">
        <v>3</v>
      </c>
      <c r="C9" s="74"/>
      <c r="D9" s="91">
        <f>SUM(D6:D7)</f>
        <v>810000</v>
      </c>
      <c r="E9" s="91">
        <f t="shared" ref="E9:T9" si="0">SUM(E6:E7)</f>
        <v>1200000</v>
      </c>
      <c r="F9" s="91">
        <f t="shared" si="0"/>
        <v>2800000</v>
      </c>
      <c r="G9" s="91">
        <f t="shared" si="0"/>
        <v>4993333.333333333</v>
      </c>
      <c r="H9" s="91">
        <f t="shared" si="0"/>
        <v>6984166.666666667</v>
      </c>
      <c r="I9" s="91">
        <f t="shared" si="0"/>
        <v>9595750</v>
      </c>
      <c r="J9" s="91">
        <f t="shared" si="0"/>
        <v>13487970.833333334</v>
      </c>
      <c r="K9" s="91">
        <f t="shared" si="0"/>
        <v>17781479.791666668</v>
      </c>
      <c r="L9" s="91">
        <f t="shared" si="0"/>
        <v>22385238.375</v>
      </c>
      <c r="M9" s="91">
        <f t="shared" si="0"/>
        <v>26645506.302083332</v>
      </c>
      <c r="N9" s="91">
        <f t="shared" si="0"/>
        <v>31506882.877604164</v>
      </c>
      <c r="O9" s="91">
        <f t="shared" si="0"/>
        <v>37119645.263671875</v>
      </c>
      <c r="P9" s="91">
        <f t="shared" si="0"/>
        <v>175309973.44335938</v>
      </c>
      <c r="Q9" s="81">
        <f>SUM(Q6:Q7)</f>
        <v>241927763.35183594</v>
      </c>
      <c r="R9" s="81">
        <f t="shared" si="0"/>
        <v>333860313.42553353</v>
      </c>
      <c r="S9" s="81">
        <f t="shared" si="0"/>
        <v>460727232.52723622</v>
      </c>
      <c r="T9" s="81">
        <f t="shared" si="0"/>
        <v>635803580.88758588</v>
      </c>
      <c r="U9" s="68"/>
      <c r="V9" s="69"/>
      <c r="W9" s="69"/>
      <c r="X9" s="69"/>
      <c r="Y9" s="69"/>
    </row>
    <row r="10" spans="1:25" x14ac:dyDescent="0.35"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79"/>
      <c r="R10" s="79"/>
      <c r="S10" s="79"/>
      <c r="T10" s="79"/>
      <c r="U10" s="68"/>
    </row>
    <row r="11" spans="1:25" ht="16.5" thickBot="1" x14ac:dyDescent="0.4">
      <c r="B11" s="74" t="s">
        <v>4</v>
      </c>
      <c r="C11" s="75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82"/>
      <c r="R11" s="82"/>
      <c r="S11" s="82"/>
      <c r="T11" s="82"/>
      <c r="U11" s="68"/>
    </row>
    <row r="12" spans="1:25" x14ac:dyDescent="0.35">
      <c r="B12" s="77" t="s">
        <v>65</v>
      </c>
      <c r="C12" s="93">
        <v>0.35</v>
      </c>
      <c r="D12" s="89">
        <f>D$9*$C$12</f>
        <v>283500</v>
      </c>
      <c r="E12" s="89">
        <f>E$9*$C$12</f>
        <v>420000</v>
      </c>
      <c r="F12" s="89">
        <f t="shared" ref="F12:O12" si="1">F$9*$C$12</f>
        <v>979999.99999999988</v>
      </c>
      <c r="G12" s="89">
        <f t="shared" si="1"/>
        <v>1747666.6666666665</v>
      </c>
      <c r="H12" s="89">
        <f t="shared" si="1"/>
        <v>2444458.3333333335</v>
      </c>
      <c r="I12" s="89">
        <f t="shared" si="1"/>
        <v>3358512.5</v>
      </c>
      <c r="J12" s="89">
        <f t="shared" si="1"/>
        <v>4720789.791666667</v>
      </c>
      <c r="K12" s="89">
        <f t="shared" si="1"/>
        <v>6223517.927083333</v>
      </c>
      <c r="L12" s="89">
        <f t="shared" si="1"/>
        <v>7834833.4312499994</v>
      </c>
      <c r="M12" s="89">
        <f t="shared" si="1"/>
        <v>9325927.205729166</v>
      </c>
      <c r="N12" s="89">
        <f t="shared" si="1"/>
        <v>11027409.007161457</v>
      </c>
      <c r="O12" s="89">
        <f t="shared" si="1"/>
        <v>12991875.842285156</v>
      </c>
      <c r="P12" s="90">
        <f>SUM(D12:O12)</f>
        <v>61358490.705175772</v>
      </c>
      <c r="Q12" s="79">
        <f>P$9*(1+'Assumption-(OH)'!E$75)*'Assumption-(OH)'!$C$75</f>
        <v>34711374.741785154</v>
      </c>
      <c r="R12" s="79">
        <f>Q$9*(1+'Assumption-(OH)'!F$75)*'Assumption-(OH)'!$C$75</f>
        <v>47030757.195596904</v>
      </c>
      <c r="S12" s="79">
        <f>R$9*(1+'Assumption-(OH)'!G$75)*'Assumption-(OH)'!$C$75</f>
        <v>64902444.929923713</v>
      </c>
      <c r="T12" s="79">
        <f>S$9*(1+'Assumption-(OH)'!H$75)*'Assumption-(OH)'!$C$75</f>
        <v>87906755.966196671</v>
      </c>
      <c r="U12" s="68"/>
    </row>
    <row r="13" spans="1:25" x14ac:dyDescent="0.35">
      <c r="B13" s="77" t="s">
        <v>66</v>
      </c>
      <c r="D13" s="89">
        <f>'Assumption-(OH)'!D76/12</f>
        <v>1125643.5223749999</v>
      </c>
      <c r="E13" s="89">
        <f>D13</f>
        <v>1125643.5223749999</v>
      </c>
      <c r="F13" s="89">
        <f t="shared" ref="F13:O14" si="2">E13</f>
        <v>1125643.5223749999</v>
      </c>
      <c r="G13" s="89">
        <f t="shared" si="2"/>
        <v>1125643.5223749999</v>
      </c>
      <c r="H13" s="89">
        <f t="shared" si="2"/>
        <v>1125643.5223749999</v>
      </c>
      <c r="I13" s="89">
        <f t="shared" si="2"/>
        <v>1125643.5223749999</v>
      </c>
      <c r="J13" s="89">
        <f t="shared" si="2"/>
        <v>1125643.5223749999</v>
      </c>
      <c r="K13" s="89">
        <f t="shared" si="2"/>
        <v>1125643.5223749999</v>
      </c>
      <c r="L13" s="89">
        <f t="shared" si="2"/>
        <v>1125643.5223749999</v>
      </c>
      <c r="M13" s="89">
        <f t="shared" si="2"/>
        <v>1125643.5223749999</v>
      </c>
      <c r="N13" s="89">
        <f t="shared" si="2"/>
        <v>1125643.5223749999</v>
      </c>
      <c r="O13" s="89">
        <f t="shared" si="2"/>
        <v>1125643.5223749999</v>
      </c>
      <c r="P13" s="90">
        <f>SUM(D13:O13)</f>
        <v>13507722.268500002</v>
      </c>
      <c r="Q13" s="79">
        <f>P$9*(1+'Assumption-(OH)'!E$75)*'Assumption-(OH)'!$C$75</f>
        <v>34711374.741785154</v>
      </c>
      <c r="R13" s="79">
        <f>Q$9*(1+'Assumption-(OH)'!F$75)*'Assumption-(OH)'!$C$75</f>
        <v>47030757.195596904</v>
      </c>
      <c r="S13" s="79">
        <f>R$9*(1+'Assumption-(OH)'!G$75)*'Assumption-(OH)'!$C$75</f>
        <v>64902444.929923713</v>
      </c>
      <c r="T13" s="79">
        <f>S$9*(1+'Assumption-(OH)'!H$75)*'Assumption-(OH)'!$C$75</f>
        <v>87906755.966196671</v>
      </c>
      <c r="U13" s="68"/>
    </row>
    <row r="14" spans="1:25" x14ac:dyDescent="0.35">
      <c r="B14" s="77" t="s">
        <v>73</v>
      </c>
      <c r="C14" s="98">
        <v>1.4999999999999999E-2</v>
      </c>
      <c r="D14" s="89">
        <f>'Assumption-(OH)'!D77/12</f>
        <v>146091.64453613281</v>
      </c>
      <c r="E14" s="89">
        <f>D14</f>
        <v>146091.64453613281</v>
      </c>
      <c r="F14" s="89">
        <f t="shared" si="2"/>
        <v>146091.64453613281</v>
      </c>
      <c r="G14" s="89">
        <f t="shared" si="2"/>
        <v>146091.64453613281</v>
      </c>
      <c r="H14" s="89">
        <f t="shared" si="2"/>
        <v>146091.64453613281</v>
      </c>
      <c r="I14" s="89">
        <f t="shared" si="2"/>
        <v>146091.64453613281</v>
      </c>
      <c r="J14" s="89">
        <f t="shared" si="2"/>
        <v>146091.64453613281</v>
      </c>
      <c r="K14" s="89">
        <f t="shared" si="2"/>
        <v>146091.64453613281</v>
      </c>
      <c r="L14" s="89">
        <f t="shared" si="2"/>
        <v>146091.64453613281</v>
      </c>
      <c r="M14" s="89">
        <f t="shared" si="2"/>
        <v>146091.64453613281</v>
      </c>
      <c r="N14" s="89">
        <f t="shared" si="2"/>
        <v>146091.64453613281</v>
      </c>
      <c r="O14" s="89">
        <f t="shared" si="2"/>
        <v>146091.64453613281</v>
      </c>
      <c r="P14" s="90">
        <f>SUM(D14:O14)</f>
        <v>1753099.7344335942</v>
      </c>
      <c r="Q14" s="79"/>
      <c r="R14" s="79"/>
      <c r="S14" s="79"/>
      <c r="T14" s="79"/>
      <c r="U14" s="68"/>
    </row>
    <row r="15" spans="1:25" x14ac:dyDescent="0.35">
      <c r="B15" s="77" t="s">
        <v>67</v>
      </c>
      <c r="C15" s="93">
        <v>0.05</v>
      </c>
      <c r="D15" s="89">
        <f>$C$15*D$9</f>
        <v>40500</v>
      </c>
      <c r="E15" s="89">
        <f t="shared" ref="E15:O15" si="3">$C$15*E$9</f>
        <v>60000</v>
      </c>
      <c r="F15" s="89">
        <f t="shared" si="3"/>
        <v>140000</v>
      </c>
      <c r="G15" s="89">
        <f t="shared" si="3"/>
        <v>249666.66666666666</v>
      </c>
      <c r="H15" s="89">
        <f t="shared" si="3"/>
        <v>349208.33333333337</v>
      </c>
      <c r="I15" s="89">
        <f t="shared" si="3"/>
        <v>479787.5</v>
      </c>
      <c r="J15" s="89">
        <f t="shared" si="3"/>
        <v>674398.54166666674</v>
      </c>
      <c r="K15" s="89">
        <f t="shared" si="3"/>
        <v>889073.98958333349</v>
      </c>
      <c r="L15" s="89">
        <f t="shared" si="3"/>
        <v>1119261.91875</v>
      </c>
      <c r="M15" s="89">
        <f t="shared" si="3"/>
        <v>1332275.3151041667</v>
      </c>
      <c r="N15" s="89">
        <f t="shared" si="3"/>
        <v>1575344.1438802083</v>
      </c>
      <c r="O15" s="89">
        <f t="shared" si="3"/>
        <v>1855982.2631835938</v>
      </c>
      <c r="P15" s="90">
        <f t="shared" ref="P15" si="4">SUM(D15:O15)</f>
        <v>8765498.672167968</v>
      </c>
      <c r="Q15" s="79">
        <f>P$9*(1+'Assumption-(OH)'!$E78)*'Assumption-(OH)'!$C$78</f>
        <v>0</v>
      </c>
      <c r="R15" s="79">
        <f>Q$9*(1+'Assumption-(OH)'!$E78)*'Assumption-(OH)'!$C$78</f>
        <v>0</v>
      </c>
      <c r="S15" s="79">
        <f>R$9*(1+'Assumption-(OH)'!$E78)*'Assumption-(OH)'!$C$78</f>
        <v>0</v>
      </c>
      <c r="T15" s="79">
        <f>S$9*(1+'Assumption-(OH)'!$E78)*'Assumption-(OH)'!$C$78</f>
        <v>0</v>
      </c>
      <c r="U15" s="68"/>
    </row>
    <row r="16" spans="1:25" ht="16.5" thickBot="1" x14ac:dyDescent="0.4">
      <c r="B16" s="74"/>
      <c r="C16" s="74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74"/>
      <c r="R16" s="74"/>
      <c r="S16" s="74"/>
      <c r="T16" s="74"/>
      <c r="U16" s="68"/>
    </row>
    <row r="17" spans="2:25" s="73" customFormat="1" ht="16.5" thickBot="1" x14ac:dyDescent="0.4">
      <c r="B17" s="74" t="s">
        <v>44</v>
      </c>
      <c r="C17" s="74"/>
      <c r="D17" s="92">
        <f t="shared" ref="D17:T17" si="5">SUM(D12:D15)</f>
        <v>1595735.1669111326</v>
      </c>
      <c r="E17" s="92">
        <f t="shared" si="5"/>
        <v>1751735.1669111326</v>
      </c>
      <c r="F17" s="92">
        <f t="shared" si="5"/>
        <v>2391735.1669111326</v>
      </c>
      <c r="G17" s="92">
        <f t="shared" si="5"/>
        <v>3269068.5002444661</v>
      </c>
      <c r="H17" s="92">
        <f t="shared" si="5"/>
        <v>4065401.8335778001</v>
      </c>
      <c r="I17" s="92">
        <f t="shared" si="5"/>
        <v>5110035.1669111326</v>
      </c>
      <c r="J17" s="92">
        <f t="shared" si="5"/>
        <v>6666923.5002444666</v>
      </c>
      <c r="K17" s="92">
        <f t="shared" si="5"/>
        <v>8384327.0835777987</v>
      </c>
      <c r="L17" s="92">
        <f t="shared" si="5"/>
        <v>10225830.51691113</v>
      </c>
      <c r="M17" s="92">
        <f t="shared" si="5"/>
        <v>11929937.687744465</v>
      </c>
      <c r="N17" s="92">
        <f t="shared" si="5"/>
        <v>13874488.317952799</v>
      </c>
      <c r="O17" s="92">
        <f t="shared" si="5"/>
        <v>16119593.272379883</v>
      </c>
      <c r="P17" s="92">
        <f>SUM(P12:P15)</f>
        <v>85384811.380277336</v>
      </c>
      <c r="Q17" s="80">
        <f t="shared" si="5"/>
        <v>69422749.483570307</v>
      </c>
      <c r="R17" s="80">
        <f t="shared" si="5"/>
        <v>94061514.391193807</v>
      </c>
      <c r="S17" s="80">
        <f t="shared" si="5"/>
        <v>129804889.85984743</v>
      </c>
      <c r="T17" s="80">
        <f t="shared" si="5"/>
        <v>175813511.93239334</v>
      </c>
      <c r="U17" s="68"/>
      <c r="V17" s="69"/>
      <c r="W17" s="69"/>
      <c r="X17" s="69"/>
      <c r="Y17" s="69"/>
    </row>
    <row r="18" spans="2:25" x14ac:dyDescent="0.35">
      <c r="D18" s="94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90"/>
      <c r="Q18" s="79"/>
      <c r="R18" s="79"/>
      <c r="S18" s="79"/>
      <c r="T18" s="79"/>
      <c r="U18" s="68"/>
    </row>
    <row r="19" spans="2:25" ht="16.5" thickBot="1" x14ac:dyDescent="0.4">
      <c r="B19" s="74" t="s">
        <v>9</v>
      </c>
      <c r="C19" s="83"/>
      <c r="D19" s="92">
        <f t="shared" ref="D19:T19" si="6">D9-D17</f>
        <v>-785735.16691113263</v>
      </c>
      <c r="E19" s="92">
        <f t="shared" si="6"/>
        <v>-551735.16691113263</v>
      </c>
      <c r="F19" s="92">
        <f t="shared" si="6"/>
        <v>408264.83308886737</v>
      </c>
      <c r="G19" s="92">
        <f t="shared" si="6"/>
        <v>1724264.8330888669</v>
      </c>
      <c r="H19" s="92">
        <f t="shared" si="6"/>
        <v>2918764.8330888669</v>
      </c>
      <c r="I19" s="92">
        <f t="shared" si="6"/>
        <v>4485714.8330888674</v>
      </c>
      <c r="J19" s="92">
        <f t="shared" si="6"/>
        <v>6821047.3330888674</v>
      </c>
      <c r="K19" s="92">
        <f t="shared" si="6"/>
        <v>9397152.7080888692</v>
      </c>
      <c r="L19" s="92">
        <f t="shared" si="6"/>
        <v>12159407.85808887</v>
      </c>
      <c r="M19" s="92">
        <f t="shared" si="6"/>
        <v>14715568.614338867</v>
      </c>
      <c r="N19" s="92">
        <f t="shared" si="6"/>
        <v>17632394.559651367</v>
      </c>
      <c r="O19" s="92">
        <f t="shared" si="6"/>
        <v>21000051.991291992</v>
      </c>
      <c r="P19" s="92">
        <f>P9-P17</f>
        <v>89925162.063082039</v>
      </c>
      <c r="Q19" s="84">
        <f t="shared" si="6"/>
        <v>172505013.86826563</v>
      </c>
      <c r="R19" s="84">
        <f t="shared" si="6"/>
        <v>239798799.03433973</v>
      </c>
      <c r="S19" s="84">
        <f t="shared" si="6"/>
        <v>330922342.6673888</v>
      </c>
      <c r="T19" s="84">
        <f t="shared" si="6"/>
        <v>459990068.95519257</v>
      </c>
      <c r="U19" s="68"/>
    </row>
    <row r="20" spans="2:25" x14ac:dyDescent="0.35"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90"/>
      <c r="Q20" s="79"/>
      <c r="R20" s="79"/>
      <c r="S20" s="79"/>
      <c r="T20" s="79"/>
      <c r="U20" s="68"/>
    </row>
    <row r="21" spans="2:25" ht="16.5" thickBot="1" x14ac:dyDescent="0.4">
      <c r="B21" s="74" t="s">
        <v>5</v>
      </c>
      <c r="C21" s="82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82"/>
      <c r="R21" s="82"/>
      <c r="S21" s="82"/>
      <c r="T21" s="82"/>
      <c r="U21" s="68"/>
    </row>
    <row r="22" spans="2:25" x14ac:dyDescent="0.4">
      <c r="B22" s="85" t="s">
        <v>68</v>
      </c>
      <c r="D22" s="89">
        <f>'Assumption-(OH)'!$D$82/12</f>
        <v>0</v>
      </c>
      <c r="E22" s="89">
        <f>D22</f>
        <v>0</v>
      </c>
      <c r="F22" s="89">
        <f t="shared" ref="F22:O24" si="7">E22</f>
        <v>0</v>
      </c>
      <c r="G22" s="89">
        <f t="shared" si="7"/>
        <v>0</v>
      </c>
      <c r="H22" s="89">
        <f t="shared" si="7"/>
        <v>0</v>
      </c>
      <c r="I22" s="89">
        <f t="shared" si="7"/>
        <v>0</v>
      </c>
      <c r="J22" s="89">
        <f t="shared" si="7"/>
        <v>0</v>
      </c>
      <c r="K22" s="89">
        <f t="shared" si="7"/>
        <v>0</v>
      </c>
      <c r="L22" s="89">
        <f t="shared" si="7"/>
        <v>0</v>
      </c>
      <c r="M22" s="89">
        <f t="shared" si="7"/>
        <v>0</v>
      </c>
      <c r="N22" s="89">
        <f t="shared" si="7"/>
        <v>0</v>
      </c>
      <c r="O22" s="89">
        <f t="shared" si="7"/>
        <v>0</v>
      </c>
      <c r="P22" s="90">
        <f>SUM(D22:O22)</f>
        <v>0</v>
      </c>
      <c r="Q22" s="79">
        <f>P22*(1+'Assumption-(OH)'!E$82)</f>
        <v>0</v>
      </c>
      <c r="R22" s="79">
        <f>Q22*(1+'Assumption-(OH)'!F$82)</f>
        <v>0</v>
      </c>
      <c r="S22" s="79">
        <f>R22*(1+'Assumption-(OH)'!G$82)</f>
        <v>0</v>
      </c>
      <c r="T22" s="79">
        <f>S22*(1+'Assumption-(OH)'!H$82)</f>
        <v>0</v>
      </c>
      <c r="U22" s="68"/>
    </row>
    <row r="23" spans="2:25" x14ac:dyDescent="0.4">
      <c r="B23" s="85" t="s">
        <v>29</v>
      </c>
      <c r="C23" s="93"/>
      <c r="D23" s="89">
        <f>'Assumption-(OH)'!D83/12</f>
        <v>78027.695371230468</v>
      </c>
      <c r="E23" s="89">
        <f>D23</f>
        <v>78027.695371230468</v>
      </c>
      <c r="F23" s="89">
        <f t="shared" si="7"/>
        <v>78027.695371230468</v>
      </c>
      <c r="G23" s="89">
        <f t="shared" si="7"/>
        <v>78027.695371230468</v>
      </c>
      <c r="H23" s="89">
        <f t="shared" si="7"/>
        <v>78027.695371230468</v>
      </c>
      <c r="I23" s="89">
        <f t="shared" si="7"/>
        <v>78027.695371230468</v>
      </c>
      <c r="J23" s="89">
        <f t="shared" si="7"/>
        <v>78027.695371230468</v>
      </c>
      <c r="K23" s="89">
        <f t="shared" si="7"/>
        <v>78027.695371230468</v>
      </c>
      <c r="L23" s="89">
        <f t="shared" si="7"/>
        <v>78027.695371230468</v>
      </c>
      <c r="M23" s="89">
        <f t="shared" si="7"/>
        <v>78027.695371230468</v>
      </c>
      <c r="N23" s="89">
        <f t="shared" si="7"/>
        <v>78027.695371230468</v>
      </c>
      <c r="O23" s="89">
        <f t="shared" si="7"/>
        <v>78027.695371230468</v>
      </c>
      <c r="P23" s="90">
        <f t="shared" ref="P23:P33" si="8">SUM(D23:O23)</f>
        <v>936332.34445476567</v>
      </c>
      <c r="Q23" s="79">
        <f>P23*(1+'Assumption-(OH)'!E$72)</f>
        <v>1076782.1961229804</v>
      </c>
      <c r="R23" s="79">
        <f>Q23*(1+'Assumption-(OH)'!F$72)</f>
        <v>1238299.5255414273</v>
      </c>
      <c r="S23" s="79">
        <f>R23*(1+'Assumption-(OH)'!G$72)</f>
        <v>1424044.4543726414</v>
      </c>
      <c r="T23" s="79">
        <f>S23*(1+'Assumption-(OH)'!H$72)</f>
        <v>1637651.1225285374</v>
      </c>
      <c r="U23" s="68"/>
    </row>
    <row r="24" spans="2:25" x14ac:dyDescent="0.4">
      <c r="B24" s="85" t="s">
        <v>28</v>
      </c>
      <c r="C24" s="95"/>
      <c r="D24" s="89">
        <f>'Assumption-(OH)'!D84/12</f>
        <v>1950.6923842807619</v>
      </c>
      <c r="E24" s="89">
        <f>D24</f>
        <v>1950.6923842807619</v>
      </c>
      <c r="F24" s="89">
        <f t="shared" si="7"/>
        <v>1950.6923842807619</v>
      </c>
      <c r="G24" s="89">
        <f t="shared" si="7"/>
        <v>1950.6923842807619</v>
      </c>
      <c r="H24" s="89">
        <f t="shared" si="7"/>
        <v>1950.6923842807619</v>
      </c>
      <c r="I24" s="89">
        <f t="shared" si="7"/>
        <v>1950.6923842807619</v>
      </c>
      <c r="J24" s="89">
        <f t="shared" si="7"/>
        <v>1950.6923842807619</v>
      </c>
      <c r="K24" s="89">
        <f t="shared" si="7"/>
        <v>1950.6923842807619</v>
      </c>
      <c r="L24" s="89">
        <f t="shared" si="7"/>
        <v>1950.6923842807619</v>
      </c>
      <c r="M24" s="89">
        <f t="shared" si="7"/>
        <v>1950.6923842807619</v>
      </c>
      <c r="N24" s="89">
        <f t="shared" si="7"/>
        <v>1950.6923842807619</v>
      </c>
      <c r="O24" s="89">
        <f t="shared" si="7"/>
        <v>1950.6923842807619</v>
      </c>
      <c r="P24" s="90">
        <f t="shared" si="8"/>
        <v>23408.30861136915</v>
      </c>
      <c r="Q24" s="79">
        <f>P24*(1+'Assumption-(OH)'!E$72)</f>
        <v>26919.554903074521</v>
      </c>
      <c r="R24" s="79">
        <f>Q24*(1+'Assumption-(OH)'!F$72)</f>
        <v>30957.488138535697</v>
      </c>
      <c r="S24" s="79">
        <f>R24*(1+'Assumption-(OH)'!G$72)</f>
        <v>35601.111359316048</v>
      </c>
      <c r="T24" s="79">
        <f>S24*(1+'Assumption-(OH)'!H$72)</f>
        <v>40941.278063213453</v>
      </c>
      <c r="U24" s="68"/>
    </row>
    <row r="25" spans="2:25" x14ac:dyDescent="0.4">
      <c r="B25" s="85" t="s">
        <v>63</v>
      </c>
      <c r="D25" s="89">
        <f>'Assumption-(OH)'!$D$85/12</f>
        <v>500000</v>
      </c>
      <c r="E25" s="89">
        <f t="shared" ref="E25:O26" si="9">D25</f>
        <v>500000</v>
      </c>
      <c r="F25" s="89">
        <f t="shared" si="9"/>
        <v>500000</v>
      </c>
      <c r="G25" s="89">
        <f t="shared" si="9"/>
        <v>500000</v>
      </c>
      <c r="H25" s="89">
        <f t="shared" si="9"/>
        <v>500000</v>
      </c>
      <c r="I25" s="89">
        <f t="shared" si="9"/>
        <v>500000</v>
      </c>
      <c r="J25" s="89">
        <f t="shared" si="9"/>
        <v>500000</v>
      </c>
      <c r="K25" s="89">
        <f t="shared" si="9"/>
        <v>500000</v>
      </c>
      <c r="L25" s="89">
        <f t="shared" si="9"/>
        <v>500000</v>
      </c>
      <c r="M25" s="89">
        <f t="shared" si="9"/>
        <v>500000</v>
      </c>
      <c r="N25" s="89">
        <f t="shared" si="9"/>
        <v>500000</v>
      </c>
      <c r="O25" s="89">
        <f t="shared" si="9"/>
        <v>500000</v>
      </c>
      <c r="P25" s="90">
        <f t="shared" si="8"/>
        <v>6000000</v>
      </c>
      <c r="Q25" s="79">
        <f>P25*(1+'Assumption-(OH)'!E$72)</f>
        <v>6899999.9999999991</v>
      </c>
      <c r="R25" s="79">
        <f>Q25*(1+'Assumption-(OH)'!F$72)</f>
        <v>7934999.9999999981</v>
      </c>
      <c r="S25" s="79">
        <f>R25*(1+'Assumption-(OH)'!G$72)</f>
        <v>9125249.9999999963</v>
      </c>
      <c r="T25" s="79">
        <f>S25*(1+'Assumption-(OH)'!H$72)</f>
        <v>10494037.499999994</v>
      </c>
      <c r="U25" s="68"/>
    </row>
    <row r="26" spans="2:25" x14ac:dyDescent="0.4">
      <c r="B26" s="85" t="s">
        <v>57</v>
      </c>
      <c r="D26" s="89">
        <f>'Assumption-(OH)'!D86/12</f>
        <v>4166.666666666667</v>
      </c>
      <c r="E26" s="89">
        <f t="shared" si="9"/>
        <v>4166.666666666667</v>
      </c>
      <c r="F26" s="89">
        <f t="shared" si="9"/>
        <v>4166.666666666667</v>
      </c>
      <c r="G26" s="89">
        <f t="shared" si="9"/>
        <v>4166.666666666667</v>
      </c>
      <c r="H26" s="89">
        <f t="shared" si="9"/>
        <v>4166.666666666667</v>
      </c>
      <c r="I26" s="89">
        <f t="shared" si="9"/>
        <v>4166.666666666667</v>
      </c>
      <c r="J26" s="89">
        <f t="shared" si="9"/>
        <v>4166.666666666667</v>
      </c>
      <c r="K26" s="89">
        <f t="shared" si="9"/>
        <v>4166.666666666667</v>
      </c>
      <c r="L26" s="89">
        <f t="shared" si="9"/>
        <v>4166.666666666667</v>
      </c>
      <c r="M26" s="89">
        <f t="shared" si="9"/>
        <v>4166.666666666667</v>
      </c>
      <c r="N26" s="89">
        <f t="shared" si="9"/>
        <v>4166.666666666667</v>
      </c>
      <c r="O26" s="89">
        <f t="shared" si="9"/>
        <v>4166.666666666667</v>
      </c>
      <c r="P26" s="90">
        <f t="shared" ref="P26" si="10">SUM(D26:O26)</f>
        <v>49999.999999999993</v>
      </c>
      <c r="Q26" s="79"/>
      <c r="R26" s="79"/>
      <c r="S26" s="79"/>
      <c r="T26" s="79"/>
      <c r="U26" s="68"/>
    </row>
    <row r="27" spans="2:25" x14ac:dyDescent="0.4">
      <c r="B27" s="85" t="s">
        <v>26</v>
      </c>
      <c r="D27" s="89">
        <f>'Assumption-(OH)'!$D87/12</f>
        <v>33333.333333333336</v>
      </c>
      <c r="E27" s="89">
        <f t="shared" ref="E27:O27" si="11">D27</f>
        <v>33333.333333333336</v>
      </c>
      <c r="F27" s="89">
        <f t="shared" si="11"/>
        <v>33333.333333333336</v>
      </c>
      <c r="G27" s="89">
        <f t="shared" si="11"/>
        <v>33333.333333333336</v>
      </c>
      <c r="H27" s="89">
        <f t="shared" si="11"/>
        <v>33333.333333333336</v>
      </c>
      <c r="I27" s="89">
        <f t="shared" si="11"/>
        <v>33333.333333333336</v>
      </c>
      <c r="J27" s="89">
        <f t="shared" si="11"/>
        <v>33333.333333333336</v>
      </c>
      <c r="K27" s="89">
        <f t="shared" si="11"/>
        <v>33333.333333333336</v>
      </c>
      <c r="L27" s="89">
        <f t="shared" si="11"/>
        <v>33333.333333333336</v>
      </c>
      <c r="M27" s="89">
        <f t="shared" si="11"/>
        <v>33333.333333333336</v>
      </c>
      <c r="N27" s="89">
        <f t="shared" si="11"/>
        <v>33333.333333333336</v>
      </c>
      <c r="O27" s="89">
        <f t="shared" si="11"/>
        <v>33333.333333333336</v>
      </c>
      <c r="P27" s="90">
        <f t="shared" si="8"/>
        <v>399999.99999999994</v>
      </c>
      <c r="Q27" s="79">
        <f>P27*(1+'Assumption-(OH)'!E$72)</f>
        <v>459999.99999999988</v>
      </c>
      <c r="R27" s="79">
        <f>Q27*(1+'Assumption-(OH)'!F$72)</f>
        <v>528999.99999999977</v>
      </c>
      <c r="S27" s="79">
        <f>R27*(1+'Assumption-(OH)'!G$72)</f>
        <v>608349.99999999965</v>
      </c>
      <c r="T27" s="79">
        <f>S27*(1+'Assumption-(OH)'!H$72)</f>
        <v>699602.49999999953</v>
      </c>
      <c r="U27" s="68"/>
    </row>
    <row r="28" spans="2:25" x14ac:dyDescent="0.4">
      <c r="B28" s="85" t="s">
        <v>25</v>
      </c>
      <c r="D28" s="89">
        <f>'Assumption-(OH)'!$D88/12</f>
        <v>0</v>
      </c>
      <c r="E28" s="89">
        <f t="shared" ref="E28:O28" si="12">D28</f>
        <v>0</v>
      </c>
      <c r="F28" s="89">
        <f t="shared" si="12"/>
        <v>0</v>
      </c>
      <c r="G28" s="89">
        <f t="shared" si="12"/>
        <v>0</v>
      </c>
      <c r="H28" s="89">
        <f t="shared" si="12"/>
        <v>0</v>
      </c>
      <c r="I28" s="89">
        <f t="shared" si="12"/>
        <v>0</v>
      </c>
      <c r="J28" s="89">
        <f t="shared" si="12"/>
        <v>0</v>
      </c>
      <c r="K28" s="89">
        <f t="shared" si="12"/>
        <v>0</v>
      </c>
      <c r="L28" s="89">
        <f t="shared" si="12"/>
        <v>0</v>
      </c>
      <c r="M28" s="89">
        <f t="shared" si="12"/>
        <v>0</v>
      </c>
      <c r="N28" s="89">
        <f t="shared" si="12"/>
        <v>0</v>
      </c>
      <c r="O28" s="89">
        <f t="shared" si="12"/>
        <v>0</v>
      </c>
      <c r="P28" s="90">
        <f t="shared" si="8"/>
        <v>0</v>
      </c>
      <c r="Q28" s="79">
        <f>P28*(1+'Assumption-(OH)'!E$72)</f>
        <v>0</v>
      </c>
      <c r="R28" s="79">
        <f>Q28*(1+'Assumption-(OH)'!F$72)</f>
        <v>0</v>
      </c>
      <c r="S28" s="79">
        <f>R28*(1+'Assumption-(OH)'!G$72)</f>
        <v>0</v>
      </c>
      <c r="T28" s="79">
        <f>S28*(1+'Assumption-(OH)'!H$72)</f>
        <v>0</v>
      </c>
      <c r="U28" s="68"/>
    </row>
    <row r="29" spans="2:25" x14ac:dyDescent="0.4">
      <c r="B29" s="85" t="s">
        <v>24</v>
      </c>
      <c r="D29" s="89">
        <f>'Assumption-(OH)'!$D89/12</f>
        <v>0</v>
      </c>
      <c r="E29" s="89">
        <f t="shared" ref="E29:O29" si="13">D29</f>
        <v>0</v>
      </c>
      <c r="F29" s="89">
        <f t="shared" si="13"/>
        <v>0</v>
      </c>
      <c r="G29" s="89">
        <f t="shared" si="13"/>
        <v>0</v>
      </c>
      <c r="H29" s="89">
        <f t="shared" si="13"/>
        <v>0</v>
      </c>
      <c r="I29" s="89">
        <f t="shared" si="13"/>
        <v>0</v>
      </c>
      <c r="J29" s="89">
        <f t="shared" si="13"/>
        <v>0</v>
      </c>
      <c r="K29" s="89">
        <f t="shared" si="13"/>
        <v>0</v>
      </c>
      <c r="L29" s="89">
        <f t="shared" si="13"/>
        <v>0</v>
      </c>
      <c r="M29" s="89">
        <f t="shared" si="13"/>
        <v>0</v>
      </c>
      <c r="N29" s="89">
        <f t="shared" si="13"/>
        <v>0</v>
      </c>
      <c r="O29" s="89">
        <f t="shared" si="13"/>
        <v>0</v>
      </c>
      <c r="P29" s="90">
        <f t="shared" si="8"/>
        <v>0</v>
      </c>
      <c r="Q29" s="79">
        <f>P29*(1+'Assumption-(OH)'!E$72)</f>
        <v>0</v>
      </c>
      <c r="R29" s="79">
        <f>Q29*(1+'Assumption-(OH)'!F$72)</f>
        <v>0</v>
      </c>
      <c r="S29" s="79">
        <f>R29*(1+'Assumption-(OH)'!G$72)</f>
        <v>0</v>
      </c>
      <c r="T29" s="79">
        <f>S29*(1+'Assumption-(OH)'!H$72)</f>
        <v>0</v>
      </c>
      <c r="U29" s="68"/>
    </row>
    <row r="30" spans="2:25" x14ac:dyDescent="0.4">
      <c r="B30" s="85" t="s">
        <v>23</v>
      </c>
      <c r="D30" s="89">
        <f>'Assumption-(OH)'!$D90/12</f>
        <v>0</v>
      </c>
      <c r="E30" s="89">
        <f t="shared" ref="E30:O30" si="14">D30</f>
        <v>0</v>
      </c>
      <c r="F30" s="89">
        <f t="shared" si="14"/>
        <v>0</v>
      </c>
      <c r="G30" s="89">
        <f t="shared" si="14"/>
        <v>0</v>
      </c>
      <c r="H30" s="89">
        <f t="shared" si="14"/>
        <v>0</v>
      </c>
      <c r="I30" s="89">
        <f t="shared" si="14"/>
        <v>0</v>
      </c>
      <c r="J30" s="89">
        <f t="shared" si="14"/>
        <v>0</v>
      </c>
      <c r="K30" s="89">
        <f t="shared" si="14"/>
        <v>0</v>
      </c>
      <c r="L30" s="89">
        <f t="shared" si="14"/>
        <v>0</v>
      </c>
      <c r="M30" s="89">
        <f t="shared" si="14"/>
        <v>0</v>
      </c>
      <c r="N30" s="89">
        <f t="shared" si="14"/>
        <v>0</v>
      </c>
      <c r="O30" s="89">
        <f t="shared" si="14"/>
        <v>0</v>
      </c>
      <c r="P30" s="90">
        <f t="shared" si="8"/>
        <v>0</v>
      </c>
      <c r="Q30" s="79">
        <f>P30*(1+'Assumption-(OH)'!E$72)</f>
        <v>0</v>
      </c>
      <c r="R30" s="79">
        <f>Q30*(1+'Assumption-(OH)'!F$72)</f>
        <v>0</v>
      </c>
      <c r="S30" s="79">
        <f>R30*(1+'Assumption-(OH)'!G$72)</f>
        <v>0</v>
      </c>
      <c r="T30" s="79">
        <f>S30*(1+'Assumption-(OH)'!H$72)</f>
        <v>0</v>
      </c>
      <c r="U30" s="68"/>
    </row>
    <row r="31" spans="2:25" x14ac:dyDescent="0.4">
      <c r="B31" s="85" t="s">
        <v>22</v>
      </c>
      <c r="D31" s="89">
        <f>'Assumption-(OH)'!$D91/12</f>
        <v>4166.666666666667</v>
      </c>
      <c r="E31" s="89">
        <f t="shared" ref="E31:O31" si="15">D31</f>
        <v>4166.666666666667</v>
      </c>
      <c r="F31" s="89">
        <f t="shared" si="15"/>
        <v>4166.666666666667</v>
      </c>
      <c r="G31" s="89">
        <f t="shared" si="15"/>
        <v>4166.666666666667</v>
      </c>
      <c r="H31" s="89">
        <f t="shared" si="15"/>
        <v>4166.666666666667</v>
      </c>
      <c r="I31" s="89">
        <f t="shared" si="15"/>
        <v>4166.666666666667</v>
      </c>
      <c r="J31" s="89">
        <f t="shared" si="15"/>
        <v>4166.666666666667</v>
      </c>
      <c r="K31" s="89">
        <f t="shared" si="15"/>
        <v>4166.666666666667</v>
      </c>
      <c r="L31" s="89">
        <f t="shared" si="15"/>
        <v>4166.666666666667</v>
      </c>
      <c r="M31" s="89">
        <f t="shared" si="15"/>
        <v>4166.666666666667</v>
      </c>
      <c r="N31" s="89">
        <f t="shared" si="15"/>
        <v>4166.666666666667</v>
      </c>
      <c r="O31" s="89">
        <f t="shared" si="15"/>
        <v>4166.666666666667</v>
      </c>
      <c r="P31" s="90">
        <f t="shared" si="8"/>
        <v>49999.999999999993</v>
      </c>
      <c r="Q31" s="79">
        <f>P31*(1+'Assumption-(OH)'!E$72)</f>
        <v>57499.999999999985</v>
      </c>
      <c r="R31" s="79">
        <f>Q31*(1+'Assumption-(OH)'!F$72)</f>
        <v>66124.999999999971</v>
      </c>
      <c r="S31" s="79">
        <f>R31*(1+'Assumption-(OH)'!G$72)</f>
        <v>76043.749999999956</v>
      </c>
      <c r="T31" s="79">
        <f>S31*(1+'Assumption-(OH)'!H$72)</f>
        <v>87450.312499999942</v>
      </c>
      <c r="U31" s="68"/>
    </row>
    <row r="32" spans="2:25" x14ac:dyDescent="0.4">
      <c r="B32" s="85" t="s">
        <v>21</v>
      </c>
      <c r="D32" s="89">
        <f>'Assumption-(OH)'!$D92/12</f>
        <v>8333.3333333333339</v>
      </c>
      <c r="E32" s="89">
        <f t="shared" ref="E32:O32" si="16">D32</f>
        <v>8333.3333333333339</v>
      </c>
      <c r="F32" s="89">
        <f t="shared" si="16"/>
        <v>8333.3333333333339</v>
      </c>
      <c r="G32" s="89">
        <f t="shared" si="16"/>
        <v>8333.3333333333339</v>
      </c>
      <c r="H32" s="89">
        <f t="shared" si="16"/>
        <v>8333.3333333333339</v>
      </c>
      <c r="I32" s="89">
        <f t="shared" si="16"/>
        <v>8333.3333333333339</v>
      </c>
      <c r="J32" s="89">
        <f t="shared" si="16"/>
        <v>8333.3333333333339</v>
      </c>
      <c r="K32" s="89">
        <f t="shared" si="16"/>
        <v>8333.3333333333339</v>
      </c>
      <c r="L32" s="89">
        <f t="shared" si="16"/>
        <v>8333.3333333333339</v>
      </c>
      <c r="M32" s="89">
        <f t="shared" si="16"/>
        <v>8333.3333333333339</v>
      </c>
      <c r="N32" s="89">
        <f t="shared" si="16"/>
        <v>8333.3333333333339</v>
      </c>
      <c r="O32" s="89">
        <f t="shared" si="16"/>
        <v>8333.3333333333339</v>
      </c>
      <c r="P32" s="90">
        <f t="shared" si="8"/>
        <v>99999.999999999985</v>
      </c>
      <c r="Q32" s="79">
        <f>P32*(1+'Assumption-(OH)'!E$72)</f>
        <v>114999.99999999997</v>
      </c>
      <c r="R32" s="79">
        <f>Q32*(1+'Assumption-(OH)'!F$72)</f>
        <v>132249.99999999994</v>
      </c>
      <c r="S32" s="79">
        <f>R32*(1+'Assumption-(OH)'!G$72)</f>
        <v>152087.49999999991</v>
      </c>
      <c r="T32" s="79">
        <f>S32*(1+'Assumption-(OH)'!H$72)</f>
        <v>174900.62499999988</v>
      </c>
      <c r="U32" s="68"/>
    </row>
    <row r="33" spans="2:21" x14ac:dyDescent="0.35">
      <c r="B33" s="37" t="s">
        <v>71</v>
      </c>
      <c r="D33" s="89">
        <f>'Assumption-(OH)'!$D94/12</f>
        <v>4166.666666666667</v>
      </c>
      <c r="E33" s="89">
        <f t="shared" ref="E33:O33" si="17">D33</f>
        <v>4166.666666666667</v>
      </c>
      <c r="F33" s="89">
        <f t="shared" si="17"/>
        <v>4166.666666666667</v>
      </c>
      <c r="G33" s="89">
        <f t="shared" si="17"/>
        <v>4166.666666666667</v>
      </c>
      <c r="H33" s="89">
        <f t="shared" si="17"/>
        <v>4166.666666666667</v>
      </c>
      <c r="I33" s="89">
        <f t="shared" si="17"/>
        <v>4166.666666666667</v>
      </c>
      <c r="J33" s="89">
        <f t="shared" si="17"/>
        <v>4166.666666666667</v>
      </c>
      <c r="K33" s="89">
        <f t="shared" si="17"/>
        <v>4166.666666666667</v>
      </c>
      <c r="L33" s="89">
        <f t="shared" si="17"/>
        <v>4166.666666666667</v>
      </c>
      <c r="M33" s="89">
        <f t="shared" si="17"/>
        <v>4166.666666666667</v>
      </c>
      <c r="N33" s="89">
        <f t="shared" si="17"/>
        <v>4166.666666666667</v>
      </c>
      <c r="O33" s="89">
        <f t="shared" si="17"/>
        <v>4166.666666666667</v>
      </c>
      <c r="P33" s="90">
        <f t="shared" si="8"/>
        <v>49999.999999999993</v>
      </c>
      <c r="Q33" s="79"/>
      <c r="R33" s="79"/>
      <c r="S33" s="79"/>
      <c r="T33" s="79"/>
      <c r="U33" s="68"/>
    </row>
    <row r="34" spans="2:21" ht="16.5" thickBot="1" x14ac:dyDescent="0.4">
      <c r="B34" s="86"/>
      <c r="C34" s="82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82"/>
      <c r="R34" s="82"/>
      <c r="S34" s="82"/>
      <c r="T34" s="82"/>
      <c r="U34" s="68"/>
    </row>
    <row r="35" spans="2:21" ht="16.5" thickBot="1" x14ac:dyDescent="0.4">
      <c r="B35" s="87" t="s">
        <v>38</v>
      </c>
      <c r="C35" s="82"/>
      <c r="D35" s="91">
        <f>SUM(D22:D33)</f>
        <v>634145.05442217784</v>
      </c>
      <c r="E35" s="91">
        <f t="shared" ref="E35:O35" si="18">SUM(E22:E33)</f>
        <v>634145.05442217784</v>
      </c>
      <c r="F35" s="91">
        <f>SUM(F22:F33)</f>
        <v>634145.05442217784</v>
      </c>
      <c r="G35" s="91">
        <f t="shared" si="18"/>
        <v>634145.05442217784</v>
      </c>
      <c r="H35" s="91">
        <f t="shared" si="18"/>
        <v>634145.05442217784</v>
      </c>
      <c r="I35" s="91">
        <f t="shared" si="18"/>
        <v>634145.05442217784</v>
      </c>
      <c r="J35" s="91">
        <f t="shared" si="18"/>
        <v>634145.05442217784</v>
      </c>
      <c r="K35" s="91">
        <f t="shared" si="18"/>
        <v>634145.05442217784</v>
      </c>
      <c r="L35" s="91">
        <f t="shared" si="18"/>
        <v>634145.05442217784</v>
      </c>
      <c r="M35" s="91">
        <f t="shared" si="18"/>
        <v>634145.05442217784</v>
      </c>
      <c r="N35" s="91">
        <f t="shared" si="18"/>
        <v>634145.05442217784</v>
      </c>
      <c r="O35" s="91">
        <f t="shared" si="18"/>
        <v>634145.05442217784</v>
      </c>
      <c r="P35" s="91">
        <f>SUM(P22:P33)</f>
        <v>7609740.653066135</v>
      </c>
      <c r="Q35" s="82">
        <f>SUM(Q22:Q32)</f>
        <v>8636201.751026053</v>
      </c>
      <c r="R35" s="82">
        <f>SUM(R22:R32)</f>
        <v>9931632.0136799607</v>
      </c>
      <c r="S35" s="82">
        <f>SUM(S22:S32)</f>
        <v>11421376.815731954</v>
      </c>
      <c r="T35" s="82">
        <f>SUM(T22:T32)</f>
        <v>13134583.338091746</v>
      </c>
      <c r="U35" s="68"/>
    </row>
    <row r="36" spans="2:21" ht="16.5" thickBot="1" x14ac:dyDescent="0.4">
      <c r="B36" s="86"/>
      <c r="C36" s="82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79"/>
      <c r="R36" s="79"/>
      <c r="S36" s="79"/>
      <c r="T36" s="79"/>
      <c r="U36" s="68"/>
    </row>
    <row r="37" spans="2:21" ht="16.5" thickBot="1" x14ac:dyDescent="0.4">
      <c r="B37" s="87" t="s">
        <v>6</v>
      </c>
      <c r="C37" s="82"/>
      <c r="D37" s="91">
        <f t="shared" ref="D37:T37" si="19">D19-D35</f>
        <v>-1419880.2213333105</v>
      </c>
      <c r="E37" s="91">
        <f t="shared" si="19"/>
        <v>-1185880.2213333105</v>
      </c>
      <c r="F37" s="91">
        <f t="shared" si="19"/>
        <v>-225880.22133331047</v>
      </c>
      <c r="G37" s="91">
        <f t="shared" si="19"/>
        <v>1090119.7786666891</v>
      </c>
      <c r="H37" s="91">
        <f t="shared" si="19"/>
        <v>2284619.7786666891</v>
      </c>
      <c r="I37" s="91">
        <f t="shared" si="19"/>
        <v>3851569.7786666895</v>
      </c>
      <c r="J37" s="91">
        <f t="shared" si="19"/>
        <v>6186902.27866669</v>
      </c>
      <c r="K37" s="91">
        <f t="shared" si="19"/>
        <v>8763007.6536666919</v>
      </c>
      <c r="L37" s="91">
        <f t="shared" si="19"/>
        <v>11525262.803666692</v>
      </c>
      <c r="M37" s="91">
        <f t="shared" si="19"/>
        <v>14081423.55991669</v>
      </c>
      <c r="N37" s="91">
        <f t="shared" si="19"/>
        <v>16998249.50522919</v>
      </c>
      <c r="O37" s="91">
        <f t="shared" si="19"/>
        <v>20365906.936869815</v>
      </c>
      <c r="P37" s="91">
        <f t="shared" si="19"/>
        <v>82315421.410015911</v>
      </c>
      <c r="Q37" s="82">
        <f t="shared" si="19"/>
        <v>163868812.11723956</v>
      </c>
      <c r="R37" s="82">
        <f t="shared" si="19"/>
        <v>229867167.02065977</v>
      </c>
      <c r="S37" s="82">
        <f t="shared" si="19"/>
        <v>319500965.85165685</v>
      </c>
      <c r="T37" s="82">
        <f t="shared" si="19"/>
        <v>446855485.61710083</v>
      </c>
      <c r="U37" s="68"/>
    </row>
    <row r="38" spans="2:21" x14ac:dyDescent="0.35">
      <c r="B38" s="37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90"/>
      <c r="Q38" s="79"/>
      <c r="R38" s="79"/>
      <c r="S38" s="79"/>
      <c r="T38" s="79"/>
      <c r="U38" s="68"/>
    </row>
    <row r="39" spans="2:21" x14ac:dyDescent="0.35">
      <c r="B39" s="37" t="s">
        <v>70</v>
      </c>
      <c r="D39" s="89">
        <f>'Assumption-(OH)'!D93/12</f>
        <v>4166.666666666667</v>
      </c>
      <c r="E39" s="89">
        <f t="shared" ref="E39:O39" si="20">D39</f>
        <v>4166.666666666667</v>
      </c>
      <c r="F39" s="89">
        <f t="shared" si="20"/>
        <v>4166.666666666667</v>
      </c>
      <c r="G39" s="89">
        <f t="shared" si="20"/>
        <v>4166.666666666667</v>
      </c>
      <c r="H39" s="89">
        <f t="shared" si="20"/>
        <v>4166.666666666667</v>
      </c>
      <c r="I39" s="89">
        <f t="shared" si="20"/>
        <v>4166.666666666667</v>
      </c>
      <c r="J39" s="89">
        <f t="shared" si="20"/>
        <v>4166.666666666667</v>
      </c>
      <c r="K39" s="89">
        <f t="shared" si="20"/>
        <v>4166.666666666667</v>
      </c>
      <c r="L39" s="89">
        <f t="shared" si="20"/>
        <v>4166.666666666667</v>
      </c>
      <c r="M39" s="89">
        <f t="shared" si="20"/>
        <v>4166.666666666667</v>
      </c>
      <c r="N39" s="89">
        <f t="shared" si="20"/>
        <v>4166.666666666667</v>
      </c>
      <c r="O39" s="89">
        <f t="shared" si="20"/>
        <v>4166.666666666667</v>
      </c>
      <c r="P39" s="90">
        <f t="shared" ref="P39" si="21">SUM(D39:O39)</f>
        <v>49999.999999999993</v>
      </c>
      <c r="Q39" s="79"/>
      <c r="R39" s="79"/>
      <c r="S39" s="79"/>
      <c r="T39" s="79"/>
      <c r="U39" s="68"/>
    </row>
    <row r="40" spans="2:21" ht="16.5" thickBot="1" x14ac:dyDescent="0.4">
      <c r="B40" s="74"/>
      <c r="C40" s="83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2"/>
      <c r="Q40" s="84"/>
      <c r="R40" s="84"/>
      <c r="S40" s="84"/>
      <c r="T40" s="84"/>
      <c r="U40" s="68"/>
    </row>
    <row r="41" spans="2:21" ht="16.5" thickBot="1" x14ac:dyDescent="0.4">
      <c r="B41" s="74" t="s">
        <v>72</v>
      </c>
      <c r="C41" s="83"/>
      <c r="D41" s="91">
        <f>D37-D39</f>
        <v>-1424046.8879999772</v>
      </c>
      <c r="E41" s="91">
        <f t="shared" ref="E41:P41" si="22">E37-E39</f>
        <v>-1190046.8879999772</v>
      </c>
      <c r="F41" s="91">
        <f t="shared" si="22"/>
        <v>-230046.88799997713</v>
      </c>
      <c r="G41" s="91">
        <f t="shared" si="22"/>
        <v>1085953.1120000223</v>
      </c>
      <c r="H41" s="91">
        <f t="shared" si="22"/>
        <v>2280453.1120000225</v>
      </c>
      <c r="I41" s="91">
        <f t="shared" si="22"/>
        <v>3847403.112000023</v>
      </c>
      <c r="J41" s="91">
        <f t="shared" si="22"/>
        <v>6182735.612000023</v>
      </c>
      <c r="K41" s="91">
        <f t="shared" si="22"/>
        <v>8758840.9870000258</v>
      </c>
      <c r="L41" s="91">
        <f t="shared" si="22"/>
        <v>11521096.137000026</v>
      </c>
      <c r="M41" s="91">
        <f t="shared" si="22"/>
        <v>14077256.893250024</v>
      </c>
      <c r="N41" s="91">
        <f t="shared" si="22"/>
        <v>16994082.838562522</v>
      </c>
      <c r="O41" s="91">
        <f t="shared" si="22"/>
        <v>20361740.270203147</v>
      </c>
      <c r="P41" s="91">
        <f t="shared" si="22"/>
        <v>82265421.410015911</v>
      </c>
      <c r="Q41" s="84"/>
      <c r="R41" s="84"/>
      <c r="S41" s="84"/>
      <c r="T41" s="84"/>
      <c r="U41" s="68"/>
    </row>
    <row r="42" spans="2:21" ht="16.5" thickBot="1" x14ac:dyDescent="0.4">
      <c r="B42" s="74"/>
      <c r="C42" s="83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2"/>
      <c r="Q42" s="79"/>
      <c r="R42" s="79"/>
      <c r="S42" s="79"/>
      <c r="T42" s="79"/>
      <c r="U42" s="68"/>
    </row>
    <row r="43" spans="2:21" ht="16.5" thickBot="1" x14ac:dyDescent="0.4">
      <c r="B43" s="74" t="s">
        <v>40</v>
      </c>
      <c r="C43" s="83"/>
      <c r="D43" s="91">
        <f>D41</f>
        <v>-1424046.8879999772</v>
      </c>
      <c r="E43" s="91">
        <f>D43+E41</f>
        <v>-2614093.7759999544</v>
      </c>
      <c r="F43" s="91">
        <f t="shared" ref="F43:O43" si="23">E43+F41</f>
        <v>-2844140.6639999314</v>
      </c>
      <c r="G43" s="91">
        <f t="shared" si="23"/>
        <v>-1758187.5519999091</v>
      </c>
      <c r="H43" s="91">
        <f t="shared" si="23"/>
        <v>522265.56000011344</v>
      </c>
      <c r="I43" s="91">
        <f t="shared" si="23"/>
        <v>4369668.6720001362</v>
      </c>
      <c r="J43" s="91">
        <f t="shared" si="23"/>
        <v>10552404.284000158</v>
      </c>
      <c r="K43" s="91">
        <f t="shared" si="23"/>
        <v>19311245.271000184</v>
      </c>
      <c r="L43" s="91">
        <f t="shared" si="23"/>
        <v>30832341.408000208</v>
      </c>
      <c r="M43" s="91">
        <f t="shared" si="23"/>
        <v>44909598.301250234</v>
      </c>
      <c r="N43" s="91">
        <f t="shared" si="23"/>
        <v>61903681.139812753</v>
      </c>
      <c r="O43" s="91">
        <f t="shared" si="23"/>
        <v>82265421.410015896</v>
      </c>
      <c r="P43" s="91">
        <f>P41</f>
        <v>82265421.410015911</v>
      </c>
      <c r="Q43" s="84">
        <f>P43+Q37</f>
        <v>246134233.52725548</v>
      </c>
      <c r="R43" s="84">
        <f t="shared" ref="R43:T43" si="24">Q43+R37</f>
        <v>476001400.54791522</v>
      </c>
      <c r="S43" s="84">
        <f t="shared" si="24"/>
        <v>795502366.39957213</v>
      </c>
      <c r="T43" s="84">
        <f t="shared" si="24"/>
        <v>1242357852.0166731</v>
      </c>
      <c r="U43" s="68"/>
    </row>
    <row r="44" spans="2:21" ht="16.5" outlineLevel="1" thickBot="1" x14ac:dyDescent="0.4">
      <c r="B44" s="74"/>
      <c r="C44" s="83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2"/>
      <c r="Q44" s="84"/>
      <c r="R44" s="84"/>
      <c r="S44" s="84"/>
      <c r="T44" s="84"/>
      <c r="U44" s="68"/>
    </row>
    <row r="45" spans="2:21" ht="16.5" outlineLevel="1" thickBot="1" x14ac:dyDescent="0.4">
      <c r="B45" s="74" t="s">
        <v>41</v>
      </c>
      <c r="C45" s="83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2"/>
      <c r="Q45" s="84"/>
      <c r="R45" s="84"/>
      <c r="S45" s="84"/>
      <c r="T45" s="84"/>
      <c r="U45" s="68"/>
    </row>
    <row r="46" spans="2:21" ht="16.5" outlineLevel="1" thickBot="1" x14ac:dyDescent="0.4">
      <c r="B46" s="74"/>
      <c r="C46" s="83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2"/>
      <c r="Q46" s="84"/>
      <c r="R46" s="84"/>
      <c r="S46" s="84"/>
      <c r="T46" s="84"/>
      <c r="U46" s="68"/>
    </row>
    <row r="47" spans="2:21" ht="16.5" outlineLevel="1" thickBot="1" x14ac:dyDescent="0.4">
      <c r="B47" s="74" t="s">
        <v>42</v>
      </c>
      <c r="C47" s="83"/>
      <c r="D47" s="91">
        <f>D43-D45</f>
        <v>-1424046.8879999772</v>
      </c>
      <c r="E47" s="91">
        <f t="shared" ref="E47:O47" si="25">E43-E45</f>
        <v>-2614093.7759999544</v>
      </c>
      <c r="F47" s="91">
        <f t="shared" si="25"/>
        <v>-2844140.6639999314</v>
      </c>
      <c r="G47" s="91">
        <f t="shared" si="25"/>
        <v>-1758187.5519999091</v>
      </c>
      <c r="H47" s="91">
        <f t="shared" si="25"/>
        <v>522265.56000011344</v>
      </c>
      <c r="I47" s="91">
        <f t="shared" si="25"/>
        <v>4369668.6720001362</v>
      </c>
      <c r="J47" s="91">
        <f t="shared" si="25"/>
        <v>10552404.284000158</v>
      </c>
      <c r="K47" s="91">
        <f t="shared" si="25"/>
        <v>19311245.271000184</v>
      </c>
      <c r="L47" s="91">
        <f t="shared" si="25"/>
        <v>30832341.408000208</v>
      </c>
      <c r="M47" s="91">
        <f t="shared" si="25"/>
        <v>44909598.301250234</v>
      </c>
      <c r="N47" s="91">
        <f t="shared" si="25"/>
        <v>61903681.139812753</v>
      </c>
      <c r="O47" s="91">
        <f t="shared" si="25"/>
        <v>82265421.410015896</v>
      </c>
      <c r="P47" s="92">
        <f>P43-P45</f>
        <v>82265421.410015911</v>
      </c>
      <c r="Q47" s="84">
        <f t="shared" ref="Q47:T47" si="26">Q43-Q45</f>
        <v>246134233.52725548</v>
      </c>
      <c r="R47" s="84">
        <f t="shared" si="26"/>
        <v>476001400.54791522</v>
      </c>
      <c r="S47" s="84">
        <f t="shared" si="26"/>
        <v>795502366.39957213</v>
      </c>
      <c r="T47" s="84">
        <f t="shared" si="26"/>
        <v>1242357852.0166731</v>
      </c>
      <c r="U47" s="68"/>
    </row>
    <row r="48" spans="2:21" ht="16.5" outlineLevel="1" thickBot="1" x14ac:dyDescent="0.4">
      <c r="B48" s="74"/>
      <c r="C48" s="83"/>
      <c r="D48" s="75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4"/>
      <c r="Q48" s="84"/>
      <c r="R48" s="84"/>
      <c r="S48" s="84"/>
      <c r="T48" s="84"/>
      <c r="U48" s="68"/>
    </row>
    <row r="49" spans="2:20" ht="16.5" thickBot="1" x14ac:dyDescent="0.4">
      <c r="B49" s="74" t="s">
        <v>43</v>
      </c>
      <c r="C49" s="83"/>
      <c r="D49" s="75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75" t="str">
        <f>IF(P47&gt;0,"1 Year"," ")</f>
        <v>1 Year</v>
      </c>
      <c r="Q49" s="75" t="str">
        <f>IF(Q47&gt;0,"2 Year"," ")</f>
        <v>2 Year</v>
      </c>
      <c r="R49" s="75" t="str">
        <f>IF(R47&gt;0,"3 Year"," ")</f>
        <v>3 Year</v>
      </c>
      <c r="S49" s="75" t="str">
        <f>IF(S47&gt;0,"4 Year"," ")</f>
        <v>4 Year</v>
      </c>
      <c r="T49" s="75" t="str">
        <f>IF(T47&gt;0,"5 Year"," ")</f>
        <v>5 Year</v>
      </c>
    </row>
    <row r="50" spans="2:20" x14ac:dyDescent="0.35"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88"/>
    </row>
    <row r="51" spans="2:20" x14ac:dyDescent="0.35"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88"/>
    </row>
    <row r="52" spans="2:20" x14ac:dyDescent="0.35"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88"/>
    </row>
  </sheetData>
  <pageMargins left="0.7" right="0.7" top="0.75" bottom="0.75" header="0.3" footer="0.3"/>
  <pageSetup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D666-4F0B-46A6-B746-FB8CA91C04D5}">
  <sheetPr>
    <outlinePr summaryRight="0"/>
  </sheetPr>
  <dimension ref="A2:Y44"/>
  <sheetViews>
    <sheetView showGridLines="0" view="pageBreakPreview" zoomScaleNormal="100" zoomScaleSheetLayoutView="100" workbookViewId="0">
      <selection activeCell="H88" sqref="H88"/>
    </sheetView>
  </sheetViews>
  <sheetFormatPr defaultColWidth="9.1796875" defaultRowHeight="12" outlineLevelCol="1" x14ac:dyDescent="0.35"/>
  <cols>
    <col min="1" max="1" width="1.453125" style="1" customWidth="1"/>
    <col min="2" max="2" width="28.81640625" style="20" bestFit="1" customWidth="1"/>
    <col min="3" max="3" width="2.453125" style="1" customWidth="1"/>
    <col min="4" max="7" width="15.81640625" style="1" customWidth="1" outlineLevel="1"/>
    <col min="8" max="15" width="17.36328125" style="1" customWidth="1" outlineLevel="1"/>
    <col min="16" max="16" width="17.1796875" style="2" bestFit="1" customWidth="1"/>
    <col min="17" max="17" width="21.453125" style="3" customWidth="1"/>
    <col min="18" max="18" width="22" style="3" customWidth="1"/>
    <col min="19" max="19" width="21" style="3" customWidth="1"/>
    <col min="20" max="20" width="21.81640625" style="3" customWidth="1"/>
    <col min="21" max="21" width="21.81640625" style="1" customWidth="1"/>
    <col min="22" max="16384" width="9.1796875" style="1"/>
  </cols>
  <sheetData>
    <row r="2" spans="1:25" ht="17.5" thickBot="1" x14ac:dyDescent="0.4">
      <c r="A2" s="28" t="s">
        <v>52</v>
      </c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  <c r="R2" s="24"/>
      <c r="S2" s="24"/>
      <c r="T2" s="24"/>
      <c r="U2" s="5"/>
    </row>
    <row r="3" spans="1:25" s="2" customFormat="1" ht="18" thickTop="1" thickBot="1" x14ac:dyDescent="0.4">
      <c r="A3" s="26"/>
      <c r="B3" s="25"/>
      <c r="C3" s="26"/>
      <c r="D3" s="27" t="s">
        <v>10</v>
      </c>
      <c r="E3" s="27" t="s">
        <v>11</v>
      </c>
      <c r="F3" s="27" t="s">
        <v>12</v>
      </c>
      <c r="G3" s="27" t="s">
        <v>13</v>
      </c>
      <c r="H3" s="27" t="s">
        <v>0</v>
      </c>
      <c r="I3" s="27" t="s">
        <v>14</v>
      </c>
      <c r="J3" s="27" t="s">
        <v>15</v>
      </c>
      <c r="K3" s="27" t="s">
        <v>16</v>
      </c>
      <c r="L3" s="27" t="s">
        <v>17</v>
      </c>
      <c r="M3" s="27" t="s">
        <v>18</v>
      </c>
      <c r="N3" s="27" t="s">
        <v>19</v>
      </c>
      <c r="O3" s="27" t="s">
        <v>20</v>
      </c>
      <c r="P3" s="26" t="s">
        <v>45</v>
      </c>
      <c r="Q3" s="26" t="s">
        <v>48</v>
      </c>
      <c r="R3" s="26" t="s">
        <v>49</v>
      </c>
      <c r="S3" s="26" t="s">
        <v>50</v>
      </c>
      <c r="T3" s="26" t="s">
        <v>51</v>
      </c>
      <c r="U3" s="5"/>
      <c r="V3" s="1"/>
      <c r="W3" s="1"/>
      <c r="X3" s="1"/>
      <c r="Y3" s="1"/>
    </row>
    <row r="4" spans="1:25" ht="18" thickTop="1" thickBot="1" x14ac:dyDescent="0.4">
      <c r="A4" s="26"/>
      <c r="B4" s="25"/>
      <c r="C4" s="26"/>
      <c r="D4" s="26" t="s">
        <v>1</v>
      </c>
      <c r="E4" s="26" t="s">
        <v>1</v>
      </c>
      <c r="F4" s="26" t="s">
        <v>1</v>
      </c>
      <c r="G4" s="26" t="s">
        <v>1</v>
      </c>
      <c r="H4" s="26" t="s">
        <v>1</v>
      </c>
      <c r="I4" s="26" t="s">
        <v>1</v>
      </c>
      <c r="J4" s="26" t="s">
        <v>1</v>
      </c>
      <c r="K4" s="26" t="s">
        <v>1</v>
      </c>
      <c r="L4" s="26" t="s">
        <v>1</v>
      </c>
      <c r="M4" s="26" t="s">
        <v>1</v>
      </c>
      <c r="N4" s="26" t="s">
        <v>1</v>
      </c>
      <c r="O4" s="26" t="s">
        <v>1</v>
      </c>
      <c r="P4" s="26" t="s">
        <v>1</v>
      </c>
      <c r="Q4" s="26" t="s">
        <v>1</v>
      </c>
      <c r="R4" s="26" t="s">
        <v>1</v>
      </c>
      <c r="S4" s="26" t="s">
        <v>1</v>
      </c>
      <c r="T4" s="26" t="s">
        <v>1</v>
      </c>
      <c r="U4" s="5"/>
    </row>
    <row r="5" spans="1:25" ht="18" customHeight="1" thickTop="1" thickBot="1" x14ac:dyDescent="0.4">
      <c r="B5" s="16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5"/>
    </row>
    <row r="6" spans="1:25" ht="18" customHeight="1" x14ac:dyDescent="0.35">
      <c r="B6" s="17" t="e">
        <f>'Assumption-(OH)'!#REF!</f>
        <v>#REF!</v>
      </c>
      <c r="C6" s="9"/>
      <c r="D6" s="10">
        <f>'Assumption-(OH)'!D5</f>
        <v>0</v>
      </c>
      <c r="E6" s="10">
        <f>'Assumption-(OH)'!E5</f>
        <v>0</v>
      </c>
      <c r="F6" s="10">
        <f>'Assumption-(OH)'!F5</f>
        <v>0</v>
      </c>
      <c r="G6" s="10">
        <f>'Assumption-(OH)'!G5</f>
        <v>613333.33333333337</v>
      </c>
      <c r="H6" s="10">
        <f>'Assumption-(OH)'!H5</f>
        <v>1319166.6666666667</v>
      </c>
      <c r="I6" s="10">
        <f>'Assumption-(OH)'!I5</f>
        <v>2025000</v>
      </c>
      <c r="J6" s="10">
        <f>'Assumption-(OH)'!J5</f>
        <v>2730833.3333333335</v>
      </c>
      <c r="K6" s="10">
        <f>'Assumption-(OH)'!K5</f>
        <v>3436666.666666667</v>
      </c>
      <c r="L6" s="10">
        <f>'Assumption-(OH)'!L5</f>
        <v>4142500</v>
      </c>
      <c r="M6" s="10">
        <f>'Assumption-(OH)'!M5</f>
        <v>4848333.333333333</v>
      </c>
      <c r="N6" s="10">
        <f>'Assumption-(OH)'!N5</f>
        <v>5554166.666666666</v>
      </c>
      <c r="O6" s="10">
        <f>'Assumption-(OH)'!O5</f>
        <v>6259999.9999999991</v>
      </c>
      <c r="P6" s="11">
        <f>SUM(D6:O6)</f>
        <v>30930000</v>
      </c>
      <c r="Q6" s="12">
        <f>P6*(1+'Assumption-(OH)'!E$71)*(1+'Assumption-(OH)'!E$74)</f>
        <v>42683400</v>
      </c>
      <c r="R6" s="12">
        <f>Q6*(1+'Assumption-(OH)'!F$71)*(1+'Assumption-(OH)'!F$74)</f>
        <v>58903091.999999993</v>
      </c>
      <c r="S6" s="12">
        <f>R6*(1+'Assumption-(OH)'!G$71)*(1+'Assumption-(OH)'!G$74)</f>
        <v>81286266.959999979</v>
      </c>
      <c r="T6" s="12">
        <f>S6*(1+'Assumption-(OH)'!H$71)*(1+'Assumption-(OH)'!H$74)</f>
        <v>112175048.40479995</v>
      </c>
      <c r="U6" s="5"/>
    </row>
    <row r="7" spans="1:25" ht="22" customHeight="1" x14ac:dyDescent="0.35">
      <c r="B7" s="17" t="str">
        <f>'Assumption-(OH)'!B13</f>
        <v>IMEs</v>
      </c>
      <c r="C7" s="9"/>
      <c r="D7" s="10">
        <f>'Assumption-(OH)'!D13</f>
        <v>810000</v>
      </c>
      <c r="E7" s="10">
        <f>'Assumption-(OH)'!E13</f>
        <v>1200000</v>
      </c>
      <c r="F7" s="10">
        <f>'Assumption-(OH)'!F13</f>
        <v>2800000</v>
      </c>
      <c r="G7" s="10">
        <f>'Assumption-(OH)'!G13</f>
        <v>4380000</v>
      </c>
      <c r="H7" s="10">
        <f>'Assumption-(OH)'!H13</f>
        <v>5665000</v>
      </c>
      <c r="I7" s="10">
        <f>'Assumption-(OH)'!I13</f>
        <v>7570750</v>
      </c>
      <c r="J7" s="10">
        <f>'Assumption-(OH)'!J13</f>
        <v>10757137.5</v>
      </c>
      <c r="K7" s="10">
        <f>'Assumption-(OH)'!K13</f>
        <v>14344813.125</v>
      </c>
      <c r="L7" s="10">
        <f>'Assumption-(OH)'!L13</f>
        <v>18242738.375</v>
      </c>
      <c r="M7" s="10">
        <f>'Assumption-(OH)'!M13</f>
        <v>21797172.96875</v>
      </c>
      <c r="N7" s="10">
        <f>'Assumption-(OH)'!N13</f>
        <v>25952716.2109375</v>
      </c>
      <c r="O7" s="10">
        <f>'Assumption-(OH)'!O13</f>
        <v>30859645.263671875</v>
      </c>
      <c r="P7" s="11">
        <f>SUM(D7:O7)</f>
        <v>144379973.44335938</v>
      </c>
      <c r="Q7" s="12">
        <f>P7*(1+'Assumption-(OH)'!E$71)*(1+'Assumption-(OH)'!E$74)</f>
        <v>199244363.35183594</v>
      </c>
      <c r="R7" s="12">
        <f>Q7*(1+'Assumption-(OH)'!F$71)*(1+'Assumption-(OH)'!F$74)</f>
        <v>274957221.42553353</v>
      </c>
      <c r="S7" s="12">
        <f>R7*(1+'Assumption-(OH)'!G$71)*(1+'Assumption-(OH)'!G$74)</f>
        <v>379440965.56723624</v>
      </c>
      <c r="T7" s="12">
        <f>S7*(1+'Assumption-(OH)'!H$71)*(1+'Assumption-(OH)'!H$74)</f>
        <v>523628532.48278594</v>
      </c>
      <c r="U7" s="5"/>
    </row>
    <row r="8" spans="1:25" ht="13" thickBot="1" x14ac:dyDescent="0.4">
      <c r="B8" s="16"/>
      <c r="C8" s="16"/>
      <c r="D8" s="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29"/>
      <c r="Q8" s="29"/>
      <c r="R8" s="29"/>
      <c r="S8" s="29"/>
      <c r="T8" s="29"/>
      <c r="U8" s="5"/>
    </row>
    <row r="9" spans="1:25" s="2" customFormat="1" ht="13" thickBot="1" x14ac:dyDescent="0.4">
      <c r="B9" s="16" t="s">
        <v>3</v>
      </c>
      <c r="C9" s="16"/>
      <c r="D9" s="8">
        <f>SUM(D6:D7)</f>
        <v>810000</v>
      </c>
      <c r="E9" s="30">
        <f t="shared" ref="E9:T9" si="0">SUM(E6:E7)</f>
        <v>1200000</v>
      </c>
      <c r="F9" s="30">
        <f t="shared" si="0"/>
        <v>2800000</v>
      </c>
      <c r="G9" s="30">
        <f t="shared" si="0"/>
        <v>4993333.333333333</v>
      </c>
      <c r="H9" s="30">
        <f t="shared" si="0"/>
        <v>6984166.666666667</v>
      </c>
      <c r="I9" s="30">
        <f t="shared" si="0"/>
        <v>9595750</v>
      </c>
      <c r="J9" s="30">
        <f t="shared" si="0"/>
        <v>13487970.833333334</v>
      </c>
      <c r="K9" s="30">
        <f t="shared" si="0"/>
        <v>17781479.791666668</v>
      </c>
      <c r="L9" s="30">
        <f t="shared" si="0"/>
        <v>22385238.375</v>
      </c>
      <c r="M9" s="30">
        <f t="shared" si="0"/>
        <v>26645506.302083332</v>
      </c>
      <c r="N9" s="30">
        <f t="shared" si="0"/>
        <v>31506882.877604164</v>
      </c>
      <c r="O9" s="30">
        <f t="shared" si="0"/>
        <v>37119645.263671875</v>
      </c>
      <c r="P9" s="30">
        <f t="shared" si="0"/>
        <v>175309973.44335938</v>
      </c>
      <c r="Q9" s="30">
        <f>SUM(Q6:Q7)</f>
        <v>241927763.35183594</v>
      </c>
      <c r="R9" s="30">
        <f t="shared" si="0"/>
        <v>333860313.42553353</v>
      </c>
      <c r="S9" s="30">
        <f t="shared" si="0"/>
        <v>460727232.52723622</v>
      </c>
      <c r="T9" s="30">
        <f t="shared" si="0"/>
        <v>635803580.88758588</v>
      </c>
      <c r="U9" s="5"/>
      <c r="V9" s="1"/>
      <c r="W9" s="1"/>
      <c r="X9" s="1"/>
      <c r="Y9" s="1"/>
    </row>
    <row r="10" spans="1:25" ht="9" customHeight="1" x14ac:dyDescent="0.35">
      <c r="B10" s="17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2"/>
      <c r="R10" s="12"/>
      <c r="S10" s="12"/>
      <c r="T10" s="12"/>
      <c r="U10" s="5"/>
    </row>
    <row r="11" spans="1:25" ht="13" thickBot="1" x14ac:dyDescent="0.4">
      <c r="B11" s="16" t="s">
        <v>4</v>
      </c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3"/>
      <c r="Q11" s="13"/>
      <c r="R11" s="13"/>
      <c r="S11" s="13"/>
      <c r="T11" s="13"/>
      <c r="U11" s="5"/>
    </row>
    <row r="12" spans="1:25" ht="12.5" x14ac:dyDescent="0.35">
      <c r="B12" s="17" t="s">
        <v>32</v>
      </c>
      <c r="C12" s="9"/>
      <c r="D12" s="10">
        <f>'Assumption-(OH)'!$C75*D$9</f>
        <v>145800</v>
      </c>
      <c r="E12" s="10">
        <f>'Assumption-(OH)'!$C75*E$9</f>
        <v>216000</v>
      </c>
      <c r="F12" s="10">
        <f>'Assumption-(OH)'!$C75*F$9</f>
        <v>504000</v>
      </c>
      <c r="G12" s="10">
        <f>'Assumption-(OH)'!$C75*G$9</f>
        <v>898799.99999999988</v>
      </c>
      <c r="H12" s="10">
        <f>'Assumption-(OH)'!$C75*H$9</f>
        <v>1257150</v>
      </c>
      <c r="I12" s="10">
        <f>'Assumption-(OH)'!$C75*I$9</f>
        <v>1727235</v>
      </c>
      <c r="J12" s="10">
        <f>'Assumption-(OH)'!$C75*J$9</f>
        <v>2427834.75</v>
      </c>
      <c r="K12" s="10">
        <f>'Assumption-(OH)'!$C75*K$9</f>
        <v>3200666.3625000003</v>
      </c>
      <c r="L12" s="10">
        <f>'Assumption-(OH)'!$C75*L$9</f>
        <v>4029342.9074999997</v>
      </c>
      <c r="M12" s="10">
        <f>'Assumption-(OH)'!$C75*M$9</f>
        <v>4796191.1343749994</v>
      </c>
      <c r="N12" s="10">
        <f>'Assumption-(OH)'!$C75*N$9</f>
        <v>5671238.9179687491</v>
      </c>
      <c r="O12" s="10">
        <f>'Assumption-(OH)'!$C75*O$9</f>
        <v>6681536.1474609375</v>
      </c>
      <c r="P12" s="11">
        <f>SUM(D12:O12)</f>
        <v>31555795.219804686</v>
      </c>
      <c r="Q12" s="12">
        <f>P$9*(1+'Assumption-(OH)'!E$75)*'Assumption-(OH)'!$C$75</f>
        <v>34711374.741785154</v>
      </c>
      <c r="R12" s="12">
        <f>Q$9*(1+'Assumption-(OH)'!F$75)*'Assumption-(OH)'!$C$75</f>
        <v>47030757.195596904</v>
      </c>
      <c r="S12" s="12">
        <f>R$9*(1+'Assumption-(OH)'!G$75)*'Assumption-(OH)'!$C$75</f>
        <v>64902444.929923713</v>
      </c>
      <c r="T12" s="12">
        <f>S$9*(1+'Assumption-(OH)'!H$75)*'Assumption-(OH)'!$C$75</f>
        <v>87906755.966196671</v>
      </c>
      <c r="U12" s="5"/>
    </row>
    <row r="13" spans="1:25" ht="12.5" x14ac:dyDescent="0.35">
      <c r="B13" s="17" t="s">
        <v>33</v>
      </c>
      <c r="C13" s="9"/>
      <c r="D13" s="10">
        <f>'Assumption-(OH)'!$C78*D$9</f>
        <v>0</v>
      </c>
      <c r="E13" s="10">
        <f>'Assumption-(OH)'!$C78*E$9</f>
        <v>0</v>
      </c>
      <c r="F13" s="10">
        <f>'Assumption-(OH)'!$C78*F$9</f>
        <v>0</v>
      </c>
      <c r="G13" s="10">
        <f>'Assumption-(OH)'!$C78*G$9</f>
        <v>0</v>
      </c>
      <c r="H13" s="10">
        <f>'Assumption-(OH)'!$C78*H$9</f>
        <v>0</v>
      </c>
      <c r="I13" s="10">
        <f>'Assumption-(OH)'!$C78*I$9</f>
        <v>0</v>
      </c>
      <c r="J13" s="10">
        <f>'Assumption-(OH)'!$C78*J$9</f>
        <v>0</v>
      </c>
      <c r="K13" s="10">
        <f>'Assumption-(OH)'!$C78*K$9</f>
        <v>0</v>
      </c>
      <c r="L13" s="10">
        <f>'Assumption-(OH)'!$C78*L$9</f>
        <v>0</v>
      </c>
      <c r="M13" s="10">
        <f>'Assumption-(OH)'!$C78*M$9</f>
        <v>0</v>
      </c>
      <c r="N13" s="10">
        <f>'Assumption-(OH)'!$C78*N$9</f>
        <v>0</v>
      </c>
      <c r="O13" s="10">
        <f>'Assumption-(OH)'!$C78*O$9</f>
        <v>0</v>
      </c>
      <c r="P13" s="11">
        <f t="shared" ref="P13" si="1">SUM(D13:O13)</f>
        <v>0</v>
      </c>
      <c r="Q13" s="12">
        <f>P$9*(1+'Assumption-(OH)'!$E78)*'Assumption-(OH)'!$C$78</f>
        <v>0</v>
      </c>
      <c r="R13" s="12">
        <f>Q$9*(1+'Assumption-(OH)'!$E78)*'Assumption-(OH)'!$C$78</f>
        <v>0</v>
      </c>
      <c r="S13" s="12">
        <f>R$9*(1+'Assumption-(OH)'!$E78)*'Assumption-(OH)'!$C$78</f>
        <v>0</v>
      </c>
      <c r="T13" s="12">
        <f>S$9*(1+'Assumption-(OH)'!$E78)*'Assumption-(OH)'!$C$78</f>
        <v>0</v>
      </c>
      <c r="U13" s="5"/>
    </row>
    <row r="14" spans="1:25" ht="4.5" customHeight="1" thickBot="1" x14ac:dyDescent="0.4">
      <c r="B14" s="16"/>
      <c r="C14" s="16"/>
      <c r="D14" s="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5"/>
    </row>
    <row r="15" spans="1:25" s="2" customFormat="1" ht="15" customHeight="1" thickBot="1" x14ac:dyDescent="0.4">
      <c r="B15" s="16" t="s">
        <v>44</v>
      </c>
      <c r="C15" s="16"/>
      <c r="D15" s="31">
        <f t="shared" ref="D15:T15" si="2">SUM(D12:D13)</f>
        <v>145800</v>
      </c>
      <c r="E15" s="31">
        <f t="shared" si="2"/>
        <v>216000</v>
      </c>
      <c r="F15" s="31">
        <f t="shared" si="2"/>
        <v>504000</v>
      </c>
      <c r="G15" s="31">
        <f t="shared" si="2"/>
        <v>898799.99999999988</v>
      </c>
      <c r="H15" s="31">
        <f t="shared" si="2"/>
        <v>1257150</v>
      </c>
      <c r="I15" s="31">
        <f t="shared" si="2"/>
        <v>1727235</v>
      </c>
      <c r="J15" s="31">
        <f t="shared" si="2"/>
        <v>2427834.75</v>
      </c>
      <c r="K15" s="31">
        <f t="shared" si="2"/>
        <v>3200666.3625000003</v>
      </c>
      <c r="L15" s="31">
        <f t="shared" si="2"/>
        <v>4029342.9074999997</v>
      </c>
      <c r="M15" s="31">
        <f t="shared" si="2"/>
        <v>4796191.1343749994</v>
      </c>
      <c r="N15" s="31">
        <f t="shared" si="2"/>
        <v>5671238.9179687491</v>
      </c>
      <c r="O15" s="31">
        <f t="shared" si="2"/>
        <v>6681536.1474609375</v>
      </c>
      <c r="P15" s="29">
        <f t="shared" si="2"/>
        <v>31555795.219804686</v>
      </c>
      <c r="Q15" s="29">
        <f t="shared" si="2"/>
        <v>34711374.741785154</v>
      </c>
      <c r="R15" s="29">
        <f t="shared" si="2"/>
        <v>47030757.195596904</v>
      </c>
      <c r="S15" s="29">
        <f t="shared" si="2"/>
        <v>64902444.929923713</v>
      </c>
      <c r="T15" s="29">
        <f t="shared" si="2"/>
        <v>87906755.966196671</v>
      </c>
      <c r="U15" s="5"/>
      <c r="V15" s="1"/>
      <c r="W15" s="1"/>
      <c r="X15" s="1"/>
      <c r="Y15" s="1"/>
    </row>
    <row r="16" spans="1:25" ht="7.5" customHeight="1" x14ac:dyDescent="0.35">
      <c r="B16" s="17"/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1"/>
      <c r="Q16" s="12"/>
      <c r="R16" s="12"/>
      <c r="S16" s="12"/>
      <c r="T16" s="12"/>
      <c r="U16" s="5"/>
    </row>
    <row r="17" spans="2:21" ht="13" thickBot="1" x14ac:dyDescent="0.4">
      <c r="B17" s="16" t="s">
        <v>9</v>
      </c>
      <c r="C17" s="6"/>
      <c r="D17" s="31">
        <f t="shared" ref="D17:T17" si="3">D9-D15</f>
        <v>664200</v>
      </c>
      <c r="E17" s="31">
        <f t="shared" si="3"/>
        <v>984000</v>
      </c>
      <c r="F17" s="31">
        <f t="shared" si="3"/>
        <v>2296000</v>
      </c>
      <c r="G17" s="31">
        <f t="shared" si="3"/>
        <v>4094533.333333333</v>
      </c>
      <c r="H17" s="31">
        <f t="shared" si="3"/>
        <v>5727016.666666667</v>
      </c>
      <c r="I17" s="31">
        <f t="shared" si="3"/>
        <v>7868515</v>
      </c>
      <c r="J17" s="31">
        <f t="shared" si="3"/>
        <v>11060136.083333334</v>
      </c>
      <c r="K17" s="31">
        <f t="shared" si="3"/>
        <v>14580813.429166667</v>
      </c>
      <c r="L17" s="31">
        <f t="shared" si="3"/>
        <v>18355895.467500001</v>
      </c>
      <c r="M17" s="31">
        <f t="shared" si="3"/>
        <v>21849315.167708334</v>
      </c>
      <c r="N17" s="31">
        <f t="shared" si="3"/>
        <v>25835643.959635414</v>
      </c>
      <c r="O17" s="31">
        <f t="shared" si="3"/>
        <v>30438109.116210938</v>
      </c>
      <c r="P17" s="15">
        <f t="shared" si="3"/>
        <v>143754178.2235547</v>
      </c>
      <c r="Q17" s="15">
        <f t="shared" si="3"/>
        <v>207216388.6100508</v>
      </c>
      <c r="R17" s="15">
        <f t="shared" si="3"/>
        <v>286829556.2299366</v>
      </c>
      <c r="S17" s="15">
        <f t="shared" si="3"/>
        <v>395824787.59731251</v>
      </c>
      <c r="T17" s="15">
        <f t="shared" si="3"/>
        <v>547896824.92138922</v>
      </c>
      <c r="U17" s="5"/>
    </row>
    <row r="18" spans="2:21" ht="12.5" x14ac:dyDescent="0.35">
      <c r="B18" s="17"/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1"/>
      <c r="Q18" s="12"/>
      <c r="R18" s="12"/>
      <c r="S18" s="12"/>
      <c r="T18" s="12"/>
      <c r="U18" s="5"/>
    </row>
    <row r="19" spans="2:21" ht="13" thickBot="1" x14ac:dyDescent="0.4">
      <c r="B19" s="16" t="s">
        <v>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5"/>
    </row>
    <row r="20" spans="2:21" ht="12.5" x14ac:dyDescent="0.25">
      <c r="B20" s="18" t="s">
        <v>30</v>
      </c>
      <c r="C20" s="9"/>
      <c r="D20" s="14">
        <f>'Assumption-(OH)'!$D$82/12</f>
        <v>0</v>
      </c>
      <c r="E20" s="14">
        <f>'Assumption-(OH)'!$D$82/12</f>
        <v>0</v>
      </c>
      <c r="F20" s="14">
        <f>'Assumption-(OH)'!$D$82/12</f>
        <v>0</v>
      </c>
      <c r="G20" s="14">
        <f>'Assumption-(OH)'!$D$82/12</f>
        <v>0</v>
      </c>
      <c r="H20" s="14">
        <f>'Assumption-(OH)'!$D$82/12</f>
        <v>0</v>
      </c>
      <c r="I20" s="14">
        <f>'Assumption-(OH)'!$D$82/12</f>
        <v>0</v>
      </c>
      <c r="J20" s="14">
        <f>'Assumption-(OH)'!$D$82/12</f>
        <v>0</v>
      </c>
      <c r="K20" s="14">
        <f>'Assumption-(OH)'!$D$82/12</f>
        <v>0</v>
      </c>
      <c r="L20" s="14">
        <f>'Assumption-(OH)'!$D$82/12</f>
        <v>0</v>
      </c>
      <c r="M20" s="14">
        <f>'Assumption-(OH)'!$D$82/12</f>
        <v>0</v>
      </c>
      <c r="N20" s="14">
        <f>'Assumption-(OH)'!$D$82/12</f>
        <v>0</v>
      </c>
      <c r="O20" s="14">
        <f>'Assumption-(OH)'!$D$82/12</f>
        <v>0</v>
      </c>
      <c r="P20" s="11">
        <f>SUM(D20:O20)</f>
        <v>0</v>
      </c>
      <c r="Q20" s="12">
        <f>P20*(1+'Assumption-(OH)'!E$82)</f>
        <v>0</v>
      </c>
      <c r="R20" s="12">
        <f>Q20*(1+'Assumption-(OH)'!F$82)</f>
        <v>0</v>
      </c>
      <c r="S20" s="12">
        <f>R20*(1+'Assumption-(OH)'!G$82)</f>
        <v>0</v>
      </c>
      <c r="T20" s="12">
        <f>S20*(1+'Assumption-(OH)'!H$82)</f>
        <v>0</v>
      </c>
      <c r="U20" s="5"/>
    </row>
    <row r="21" spans="2:21" ht="12.5" x14ac:dyDescent="0.25">
      <c r="B21" s="18" t="s">
        <v>29</v>
      </c>
      <c r="C21" s="9"/>
      <c r="D21" s="14">
        <f>'Computations-Outputs'!$D$9*'Assumption-(OH)'!$C$83</f>
        <v>16200</v>
      </c>
      <c r="E21" s="14">
        <f>'Computations-Outputs'!$D$9*'Assumption-(OH)'!$C$83</f>
        <v>16200</v>
      </c>
      <c r="F21" s="14">
        <f>'Computations-Outputs'!$D$9*'Assumption-(OH)'!$C$83</f>
        <v>16200</v>
      </c>
      <c r="G21" s="14">
        <f>'Computations-Outputs'!$D$9*'Assumption-(OH)'!$C$83</f>
        <v>16200</v>
      </c>
      <c r="H21" s="14">
        <f>'Computations-Outputs'!$D$9*'Assumption-(OH)'!$C$83</f>
        <v>16200</v>
      </c>
      <c r="I21" s="14">
        <f>'Computations-Outputs'!$D$9*'Assumption-(OH)'!$C$83</f>
        <v>16200</v>
      </c>
      <c r="J21" s="14">
        <f>'Computations-Outputs'!$D$9*'Assumption-(OH)'!$C$83</f>
        <v>16200</v>
      </c>
      <c r="K21" s="14">
        <f>'Computations-Outputs'!$D$9*'Assumption-(OH)'!$C$83</f>
        <v>16200</v>
      </c>
      <c r="L21" s="14">
        <f>'Computations-Outputs'!$D$9*'Assumption-(OH)'!$C$83</f>
        <v>16200</v>
      </c>
      <c r="M21" s="14">
        <f>'Computations-Outputs'!$D$9*'Assumption-(OH)'!$C$83</f>
        <v>16200</v>
      </c>
      <c r="N21" s="14">
        <f>'Computations-Outputs'!$D$9*'Assumption-(OH)'!$C$83</f>
        <v>16200</v>
      </c>
      <c r="O21" s="14">
        <f>'Computations-Outputs'!$D$9*'Assumption-(OH)'!$C$83</f>
        <v>16200</v>
      </c>
      <c r="P21" s="11">
        <f t="shared" ref="P21:P29" si="4">SUM(D21:O21)</f>
        <v>194400</v>
      </c>
      <c r="Q21" s="12">
        <f>P21*(1+'Assumption-(OH)'!E$72)</f>
        <v>223559.99999999997</v>
      </c>
      <c r="R21" s="12">
        <f>Q21*(1+'Assumption-(OH)'!F$72)</f>
        <v>257093.99999999994</v>
      </c>
      <c r="S21" s="12">
        <f>R21*(1+'Assumption-(OH)'!G$72)</f>
        <v>295658.09999999992</v>
      </c>
      <c r="T21" s="12">
        <f>S21*(1+'Assumption-(OH)'!H$72)</f>
        <v>340006.81499999989</v>
      </c>
      <c r="U21" s="5"/>
    </row>
    <row r="22" spans="2:21" ht="12.5" x14ac:dyDescent="0.25">
      <c r="B22" s="18" t="s">
        <v>28</v>
      </c>
      <c r="C22" s="9"/>
      <c r="D22" s="14">
        <f>'Assumption-(OH)'!$C$84*'Computations-Outputs'!$D$9</f>
        <v>405</v>
      </c>
      <c r="E22" s="14">
        <f>'Assumption-(OH)'!$C$84*'Computations-Outputs'!$D$9</f>
        <v>405</v>
      </c>
      <c r="F22" s="14">
        <f>'Assumption-(OH)'!$C$84*'Computations-Outputs'!$D$9</f>
        <v>405</v>
      </c>
      <c r="G22" s="14">
        <f>'Assumption-(OH)'!$C$84*'Computations-Outputs'!$D$9</f>
        <v>405</v>
      </c>
      <c r="H22" s="14">
        <f>'Assumption-(OH)'!$C$84*'Computations-Outputs'!$D$9</f>
        <v>405</v>
      </c>
      <c r="I22" s="14">
        <f>'Assumption-(OH)'!$C$84*'Computations-Outputs'!$D$9</f>
        <v>405</v>
      </c>
      <c r="J22" s="14">
        <f>'Assumption-(OH)'!$C$84*'Computations-Outputs'!$D$9</f>
        <v>405</v>
      </c>
      <c r="K22" s="14">
        <f>'Assumption-(OH)'!$C$84*'Computations-Outputs'!$D$9</f>
        <v>405</v>
      </c>
      <c r="L22" s="14">
        <f>'Assumption-(OH)'!$C$84*'Computations-Outputs'!$D$9</f>
        <v>405</v>
      </c>
      <c r="M22" s="14">
        <f>'Assumption-(OH)'!$C$84*'Computations-Outputs'!$D$9</f>
        <v>405</v>
      </c>
      <c r="N22" s="14">
        <f>'Assumption-(OH)'!$C$84*'Computations-Outputs'!$D$9</f>
        <v>405</v>
      </c>
      <c r="O22" s="14">
        <f>'Assumption-(OH)'!$C$84*'Computations-Outputs'!$D$9</f>
        <v>405</v>
      </c>
      <c r="P22" s="11">
        <f t="shared" si="4"/>
        <v>4860</v>
      </c>
      <c r="Q22" s="12">
        <f>P22*(1+'Assumption-(OH)'!E$72)</f>
        <v>5589</v>
      </c>
      <c r="R22" s="12">
        <f>Q22*(1+'Assumption-(OH)'!F$72)</f>
        <v>6427.3499999999995</v>
      </c>
      <c r="S22" s="12">
        <f>R22*(1+'Assumption-(OH)'!G$72)</f>
        <v>7391.4524999999985</v>
      </c>
      <c r="T22" s="12">
        <f>S22*(1+'Assumption-(OH)'!H$72)</f>
        <v>8500.1703749999979</v>
      </c>
      <c r="U22" s="5"/>
    </row>
    <row r="23" spans="2:21" ht="12.5" x14ac:dyDescent="0.25">
      <c r="B23" s="18" t="s">
        <v>27</v>
      </c>
      <c r="C23" s="9"/>
      <c r="D23" s="14">
        <f>'Assumption-(OH)'!$D$85/12</f>
        <v>500000</v>
      </c>
      <c r="E23" s="14">
        <f>'Assumption-(OH)'!$D$85/12</f>
        <v>500000</v>
      </c>
      <c r="F23" s="14">
        <f>'Assumption-(OH)'!$D$85/12</f>
        <v>500000</v>
      </c>
      <c r="G23" s="14">
        <f>'Assumption-(OH)'!$D$85/12</f>
        <v>500000</v>
      </c>
      <c r="H23" s="14">
        <f>'Assumption-(OH)'!$D$85/12</f>
        <v>500000</v>
      </c>
      <c r="I23" s="14">
        <f>'Assumption-(OH)'!$D$85/12</f>
        <v>500000</v>
      </c>
      <c r="J23" s="14">
        <f>'Assumption-(OH)'!$D$85/12</f>
        <v>500000</v>
      </c>
      <c r="K23" s="14">
        <f>'Assumption-(OH)'!$D$85/12</f>
        <v>500000</v>
      </c>
      <c r="L23" s="14">
        <f>'Assumption-(OH)'!$D$85/12</f>
        <v>500000</v>
      </c>
      <c r="M23" s="14">
        <f>'Assumption-(OH)'!$D$85/12</f>
        <v>500000</v>
      </c>
      <c r="N23" s="14">
        <f>'Assumption-(OH)'!$D$85/12</f>
        <v>500000</v>
      </c>
      <c r="O23" s="14">
        <f>'Assumption-(OH)'!$D$85/12</f>
        <v>500000</v>
      </c>
      <c r="P23" s="11">
        <f t="shared" si="4"/>
        <v>6000000</v>
      </c>
      <c r="Q23" s="12">
        <f>P23*(1+'Assumption-(OH)'!E$72)</f>
        <v>6899999.9999999991</v>
      </c>
      <c r="R23" s="12">
        <f>Q23*(1+'Assumption-(OH)'!F$72)</f>
        <v>7934999.9999999981</v>
      </c>
      <c r="S23" s="12">
        <f>R23*(1+'Assumption-(OH)'!G$72)</f>
        <v>9125249.9999999963</v>
      </c>
      <c r="T23" s="12">
        <f>S23*(1+'Assumption-(OH)'!H$72)</f>
        <v>10494037.499999994</v>
      </c>
      <c r="U23" s="5"/>
    </row>
    <row r="24" spans="2:21" ht="12.5" x14ac:dyDescent="0.25">
      <c r="B24" s="18" t="s">
        <v>26</v>
      </c>
      <c r="C24" s="9"/>
      <c r="D24" s="14">
        <f>'Assumption-(OH)'!$D87/12</f>
        <v>33333.333333333336</v>
      </c>
      <c r="E24" s="14">
        <f>'Assumption-(OH)'!$D87/12</f>
        <v>33333.333333333336</v>
      </c>
      <c r="F24" s="14">
        <f>'Assumption-(OH)'!$D87/12</f>
        <v>33333.333333333336</v>
      </c>
      <c r="G24" s="14">
        <f>'Assumption-(OH)'!$D87/12</f>
        <v>33333.333333333336</v>
      </c>
      <c r="H24" s="14">
        <f>'Assumption-(OH)'!$D87/12</f>
        <v>33333.333333333336</v>
      </c>
      <c r="I24" s="14">
        <f>'Assumption-(OH)'!$D87/12</f>
        <v>33333.333333333336</v>
      </c>
      <c r="J24" s="14">
        <f>'Assumption-(OH)'!$D87/12</f>
        <v>33333.333333333336</v>
      </c>
      <c r="K24" s="14">
        <f>'Assumption-(OH)'!$D87/12</f>
        <v>33333.333333333336</v>
      </c>
      <c r="L24" s="14">
        <f>'Assumption-(OH)'!$D87/12</f>
        <v>33333.333333333336</v>
      </c>
      <c r="M24" s="14">
        <f>'Assumption-(OH)'!$D87/12</f>
        <v>33333.333333333336</v>
      </c>
      <c r="N24" s="14">
        <f>'Assumption-(OH)'!$D87/12</f>
        <v>33333.333333333336</v>
      </c>
      <c r="O24" s="14">
        <f>'Assumption-(OH)'!$D87/12</f>
        <v>33333.333333333336</v>
      </c>
      <c r="P24" s="11">
        <f t="shared" si="4"/>
        <v>399999.99999999994</v>
      </c>
      <c r="Q24" s="12">
        <f>P24*(1+'Assumption-(OH)'!E$72)</f>
        <v>459999.99999999988</v>
      </c>
      <c r="R24" s="12">
        <f>Q24*(1+'Assumption-(OH)'!F$72)</f>
        <v>528999.99999999977</v>
      </c>
      <c r="S24" s="12">
        <f>R24*(1+'Assumption-(OH)'!G$72)</f>
        <v>608349.99999999965</v>
      </c>
      <c r="T24" s="12">
        <f>S24*(1+'Assumption-(OH)'!H$72)</f>
        <v>699602.49999999953</v>
      </c>
      <c r="U24" s="5"/>
    </row>
    <row r="25" spans="2:21" ht="12.5" x14ac:dyDescent="0.25">
      <c r="B25" s="18" t="s">
        <v>25</v>
      </c>
      <c r="C25" s="9"/>
      <c r="D25" s="14">
        <f>'Assumption-(OH)'!$D88/12</f>
        <v>0</v>
      </c>
      <c r="E25" s="14">
        <f>'Assumption-(OH)'!$D88/12</f>
        <v>0</v>
      </c>
      <c r="F25" s="14">
        <f>'Assumption-(OH)'!$D88/12</f>
        <v>0</v>
      </c>
      <c r="G25" s="14">
        <f>'Assumption-(OH)'!$D88/12</f>
        <v>0</v>
      </c>
      <c r="H25" s="14">
        <f>'Assumption-(OH)'!$D88/12</f>
        <v>0</v>
      </c>
      <c r="I25" s="14">
        <f>'Assumption-(OH)'!$D88/12</f>
        <v>0</v>
      </c>
      <c r="J25" s="14">
        <f>'Assumption-(OH)'!$D88/12</f>
        <v>0</v>
      </c>
      <c r="K25" s="14">
        <f>'Assumption-(OH)'!$D88/12</f>
        <v>0</v>
      </c>
      <c r="L25" s="14">
        <f>'Assumption-(OH)'!$D88/12</f>
        <v>0</v>
      </c>
      <c r="M25" s="14">
        <f>'Assumption-(OH)'!$D88/12</f>
        <v>0</v>
      </c>
      <c r="N25" s="14">
        <f>'Assumption-(OH)'!$D88/12</f>
        <v>0</v>
      </c>
      <c r="O25" s="14">
        <f>'Assumption-(OH)'!$D88/12</f>
        <v>0</v>
      </c>
      <c r="P25" s="11">
        <f t="shared" si="4"/>
        <v>0</v>
      </c>
      <c r="Q25" s="12">
        <f>P25*(1+'Assumption-(OH)'!E$72)</f>
        <v>0</v>
      </c>
      <c r="R25" s="12">
        <f>Q25*(1+'Assumption-(OH)'!F$72)</f>
        <v>0</v>
      </c>
      <c r="S25" s="12">
        <f>R25*(1+'Assumption-(OH)'!G$72)</f>
        <v>0</v>
      </c>
      <c r="T25" s="12">
        <f>S25*(1+'Assumption-(OH)'!H$72)</f>
        <v>0</v>
      </c>
      <c r="U25" s="5"/>
    </row>
    <row r="26" spans="2:21" ht="12.5" x14ac:dyDescent="0.25">
      <c r="B26" s="18" t="s">
        <v>24</v>
      </c>
      <c r="C26" s="9"/>
      <c r="D26" s="14">
        <f>'Assumption-(OH)'!$D89/12</f>
        <v>0</v>
      </c>
      <c r="E26" s="14">
        <f>'Assumption-(OH)'!$D89/12</f>
        <v>0</v>
      </c>
      <c r="F26" s="14">
        <f>'Assumption-(OH)'!$D89/12</f>
        <v>0</v>
      </c>
      <c r="G26" s="14">
        <f>'Assumption-(OH)'!$D89/12</f>
        <v>0</v>
      </c>
      <c r="H26" s="14">
        <f>'Assumption-(OH)'!$D89/12</f>
        <v>0</v>
      </c>
      <c r="I26" s="14">
        <f>'Assumption-(OH)'!$D89/12</f>
        <v>0</v>
      </c>
      <c r="J26" s="14">
        <f>'Assumption-(OH)'!$D89/12</f>
        <v>0</v>
      </c>
      <c r="K26" s="14">
        <f>'Assumption-(OH)'!$D89/12</f>
        <v>0</v>
      </c>
      <c r="L26" s="14">
        <f>'Assumption-(OH)'!$D89/12</f>
        <v>0</v>
      </c>
      <c r="M26" s="14">
        <f>'Assumption-(OH)'!$D89/12</f>
        <v>0</v>
      </c>
      <c r="N26" s="14">
        <f>'Assumption-(OH)'!$D89/12</f>
        <v>0</v>
      </c>
      <c r="O26" s="14">
        <f>'Assumption-(OH)'!$D89/12</f>
        <v>0</v>
      </c>
      <c r="P26" s="11">
        <f t="shared" si="4"/>
        <v>0</v>
      </c>
      <c r="Q26" s="12">
        <f>P26*(1+'Assumption-(OH)'!E$72)</f>
        <v>0</v>
      </c>
      <c r="R26" s="12">
        <f>Q26*(1+'Assumption-(OH)'!F$72)</f>
        <v>0</v>
      </c>
      <c r="S26" s="12">
        <f>R26*(1+'Assumption-(OH)'!G$72)</f>
        <v>0</v>
      </c>
      <c r="T26" s="12">
        <f>S26*(1+'Assumption-(OH)'!H$72)</f>
        <v>0</v>
      </c>
      <c r="U26" s="5"/>
    </row>
    <row r="27" spans="2:21" ht="12.5" x14ac:dyDescent="0.25">
      <c r="B27" s="18" t="s">
        <v>23</v>
      </c>
      <c r="C27" s="9"/>
      <c r="D27" s="14">
        <f>'Assumption-(OH)'!$D90/12</f>
        <v>0</v>
      </c>
      <c r="E27" s="14">
        <f>'Assumption-(OH)'!$D90/12</f>
        <v>0</v>
      </c>
      <c r="F27" s="14">
        <f>'Assumption-(OH)'!$D90/12</f>
        <v>0</v>
      </c>
      <c r="G27" s="14">
        <f>'Assumption-(OH)'!$D90/12</f>
        <v>0</v>
      </c>
      <c r="H27" s="14">
        <f>'Assumption-(OH)'!$D90/12</f>
        <v>0</v>
      </c>
      <c r="I27" s="14">
        <f>'Assumption-(OH)'!$D90/12</f>
        <v>0</v>
      </c>
      <c r="J27" s="14">
        <f>'Assumption-(OH)'!$D90/12</f>
        <v>0</v>
      </c>
      <c r="K27" s="14">
        <f>'Assumption-(OH)'!$D90/12</f>
        <v>0</v>
      </c>
      <c r="L27" s="14">
        <f>'Assumption-(OH)'!$D90/12</f>
        <v>0</v>
      </c>
      <c r="M27" s="14">
        <f>'Assumption-(OH)'!$D90/12</f>
        <v>0</v>
      </c>
      <c r="N27" s="14">
        <f>'Assumption-(OH)'!$D90/12</f>
        <v>0</v>
      </c>
      <c r="O27" s="14">
        <f>'Assumption-(OH)'!$D90/12</f>
        <v>0</v>
      </c>
      <c r="P27" s="11">
        <f t="shared" si="4"/>
        <v>0</v>
      </c>
      <c r="Q27" s="12">
        <f>P27*(1+'Assumption-(OH)'!E$72)</f>
        <v>0</v>
      </c>
      <c r="R27" s="12">
        <f>Q27*(1+'Assumption-(OH)'!F$72)</f>
        <v>0</v>
      </c>
      <c r="S27" s="12">
        <f>R27*(1+'Assumption-(OH)'!G$72)</f>
        <v>0</v>
      </c>
      <c r="T27" s="12">
        <f>S27*(1+'Assumption-(OH)'!H$72)</f>
        <v>0</v>
      </c>
      <c r="U27" s="5"/>
    </row>
    <row r="28" spans="2:21" ht="12.5" x14ac:dyDescent="0.25">
      <c r="B28" s="18" t="s">
        <v>22</v>
      </c>
      <c r="C28" s="9"/>
      <c r="D28" s="14">
        <f>'Assumption-(OH)'!$D91/12</f>
        <v>4166.666666666667</v>
      </c>
      <c r="E28" s="14">
        <f>'Assumption-(OH)'!$D91/12</f>
        <v>4166.666666666667</v>
      </c>
      <c r="F28" s="14">
        <f>'Assumption-(OH)'!$D91/12</f>
        <v>4166.666666666667</v>
      </c>
      <c r="G28" s="14">
        <f>'Assumption-(OH)'!$D91/12</f>
        <v>4166.666666666667</v>
      </c>
      <c r="H28" s="14">
        <f>'Assumption-(OH)'!$D91/12</f>
        <v>4166.666666666667</v>
      </c>
      <c r="I28" s="14">
        <f>'Assumption-(OH)'!$D91/12</f>
        <v>4166.666666666667</v>
      </c>
      <c r="J28" s="14">
        <f>'Assumption-(OH)'!$D91/12</f>
        <v>4166.666666666667</v>
      </c>
      <c r="K28" s="14">
        <f>'Assumption-(OH)'!$D91/12</f>
        <v>4166.666666666667</v>
      </c>
      <c r="L28" s="14">
        <f>'Assumption-(OH)'!$D91/12</f>
        <v>4166.666666666667</v>
      </c>
      <c r="M28" s="14">
        <f>'Assumption-(OH)'!$D91/12</f>
        <v>4166.666666666667</v>
      </c>
      <c r="N28" s="14">
        <f>'Assumption-(OH)'!$D91/12</f>
        <v>4166.666666666667</v>
      </c>
      <c r="O28" s="14">
        <f>'Assumption-(OH)'!$D91/12</f>
        <v>4166.666666666667</v>
      </c>
      <c r="P28" s="11">
        <f t="shared" si="4"/>
        <v>49999.999999999993</v>
      </c>
      <c r="Q28" s="12">
        <f>P28*(1+'Assumption-(OH)'!E$72)</f>
        <v>57499.999999999985</v>
      </c>
      <c r="R28" s="12">
        <f>Q28*(1+'Assumption-(OH)'!F$72)</f>
        <v>66124.999999999971</v>
      </c>
      <c r="S28" s="12">
        <f>R28*(1+'Assumption-(OH)'!G$72)</f>
        <v>76043.749999999956</v>
      </c>
      <c r="T28" s="12">
        <f>S28*(1+'Assumption-(OH)'!H$72)</f>
        <v>87450.312499999942</v>
      </c>
      <c r="U28" s="5"/>
    </row>
    <row r="29" spans="2:21" ht="12.5" x14ac:dyDescent="0.25">
      <c r="B29" s="18" t="s">
        <v>21</v>
      </c>
      <c r="C29" s="9"/>
      <c r="D29" s="14">
        <f>'Assumption-(OH)'!$D92/12</f>
        <v>8333.3333333333339</v>
      </c>
      <c r="E29" s="14">
        <f>'Assumption-(OH)'!$D92/12</f>
        <v>8333.3333333333339</v>
      </c>
      <c r="F29" s="14">
        <f>'Assumption-(OH)'!$D92/12</f>
        <v>8333.3333333333339</v>
      </c>
      <c r="G29" s="14">
        <f>'Assumption-(OH)'!$D92/12</f>
        <v>8333.3333333333339</v>
      </c>
      <c r="H29" s="14">
        <f>'Assumption-(OH)'!$D92/12</f>
        <v>8333.3333333333339</v>
      </c>
      <c r="I29" s="14">
        <f>'Assumption-(OH)'!$D92/12</f>
        <v>8333.3333333333339</v>
      </c>
      <c r="J29" s="14">
        <f>'Assumption-(OH)'!$D92/12</f>
        <v>8333.3333333333339</v>
      </c>
      <c r="K29" s="14">
        <f>'Assumption-(OH)'!$D92/12</f>
        <v>8333.3333333333339</v>
      </c>
      <c r="L29" s="14">
        <f>'Assumption-(OH)'!$D92/12</f>
        <v>8333.3333333333339</v>
      </c>
      <c r="M29" s="14">
        <f>'Assumption-(OH)'!$D92/12</f>
        <v>8333.3333333333339</v>
      </c>
      <c r="N29" s="14">
        <f>'Assumption-(OH)'!$D92/12</f>
        <v>8333.3333333333339</v>
      </c>
      <c r="O29" s="14">
        <f>'Assumption-(OH)'!$D92/12</f>
        <v>8333.3333333333339</v>
      </c>
      <c r="P29" s="11">
        <f t="shared" si="4"/>
        <v>99999.999999999985</v>
      </c>
      <c r="Q29" s="12">
        <f>P29*(1+'Assumption-(OH)'!E$72)</f>
        <v>114999.99999999997</v>
      </c>
      <c r="R29" s="12">
        <f>Q29*(1+'Assumption-(OH)'!F$72)</f>
        <v>132249.99999999994</v>
      </c>
      <c r="S29" s="12">
        <f>R29*(1+'Assumption-(OH)'!G$72)</f>
        <v>152087.49999999991</v>
      </c>
      <c r="T29" s="12">
        <f>S29*(1+'Assumption-(OH)'!H$72)</f>
        <v>174900.62499999988</v>
      </c>
      <c r="U29" s="5"/>
    </row>
    <row r="30" spans="2:21" ht="7.5" customHeight="1" thickBot="1" x14ac:dyDescent="0.4">
      <c r="B30" s="19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5"/>
    </row>
    <row r="31" spans="2:21" ht="13" thickBot="1" x14ac:dyDescent="0.4">
      <c r="B31" s="21" t="s">
        <v>38</v>
      </c>
      <c r="C31" s="13"/>
      <c r="D31" s="13">
        <f t="shared" ref="D31:T31" si="5">SUM(D20:D29)</f>
        <v>562438.33333333337</v>
      </c>
      <c r="E31" s="13">
        <f t="shared" si="5"/>
        <v>562438.33333333337</v>
      </c>
      <c r="F31" s="13">
        <f t="shared" si="5"/>
        <v>562438.33333333337</v>
      </c>
      <c r="G31" s="13">
        <f t="shared" si="5"/>
        <v>562438.33333333337</v>
      </c>
      <c r="H31" s="13">
        <f t="shared" si="5"/>
        <v>562438.33333333337</v>
      </c>
      <c r="I31" s="13">
        <f t="shared" si="5"/>
        <v>562438.33333333337</v>
      </c>
      <c r="J31" s="13">
        <f t="shared" si="5"/>
        <v>562438.33333333337</v>
      </c>
      <c r="K31" s="13">
        <f t="shared" si="5"/>
        <v>562438.33333333337</v>
      </c>
      <c r="L31" s="13">
        <f t="shared" si="5"/>
        <v>562438.33333333337</v>
      </c>
      <c r="M31" s="13">
        <f t="shared" si="5"/>
        <v>562438.33333333337</v>
      </c>
      <c r="N31" s="13">
        <f t="shared" si="5"/>
        <v>562438.33333333337</v>
      </c>
      <c r="O31" s="13">
        <f t="shared" si="5"/>
        <v>562438.33333333337</v>
      </c>
      <c r="P31" s="13">
        <f t="shared" si="5"/>
        <v>6749260</v>
      </c>
      <c r="Q31" s="13">
        <f t="shared" si="5"/>
        <v>7761648.9999999991</v>
      </c>
      <c r="R31" s="13">
        <f t="shared" si="5"/>
        <v>8925896.3499999978</v>
      </c>
      <c r="S31" s="13">
        <f t="shared" si="5"/>
        <v>10264780.802499996</v>
      </c>
      <c r="T31" s="13">
        <f t="shared" si="5"/>
        <v>11804497.922874995</v>
      </c>
      <c r="U31" s="5"/>
    </row>
    <row r="32" spans="2:21" ht="12.5" x14ac:dyDescent="0.25">
      <c r="B32" s="18"/>
      <c r="C32" s="9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1"/>
      <c r="Q32" s="12"/>
      <c r="R32" s="12"/>
      <c r="S32" s="12"/>
      <c r="T32" s="12"/>
      <c r="U32" s="5"/>
    </row>
    <row r="33" spans="2:21" ht="13" thickBot="1" x14ac:dyDescent="0.4">
      <c r="B33" s="16" t="s">
        <v>6</v>
      </c>
      <c r="C33" s="6"/>
      <c r="D33" s="31">
        <f t="shared" ref="D33:T33" si="6">D17-D31</f>
        <v>101761.66666666663</v>
      </c>
      <c r="E33" s="31">
        <f t="shared" si="6"/>
        <v>421561.66666666663</v>
      </c>
      <c r="F33" s="31">
        <f t="shared" si="6"/>
        <v>1733561.6666666665</v>
      </c>
      <c r="G33" s="31">
        <f t="shared" si="6"/>
        <v>3532094.9999999995</v>
      </c>
      <c r="H33" s="31">
        <f t="shared" si="6"/>
        <v>5164578.333333334</v>
      </c>
      <c r="I33" s="31">
        <f t="shared" si="6"/>
        <v>7306076.666666667</v>
      </c>
      <c r="J33" s="31">
        <f t="shared" si="6"/>
        <v>10497697.75</v>
      </c>
      <c r="K33" s="31">
        <f t="shared" si="6"/>
        <v>14018375.095833333</v>
      </c>
      <c r="L33" s="31">
        <f t="shared" si="6"/>
        <v>17793457.134166669</v>
      </c>
      <c r="M33" s="31">
        <f t="shared" si="6"/>
        <v>21286876.834375001</v>
      </c>
      <c r="N33" s="31">
        <f t="shared" si="6"/>
        <v>25273205.626302082</v>
      </c>
      <c r="O33" s="31">
        <f t="shared" si="6"/>
        <v>29875670.782877605</v>
      </c>
      <c r="P33" s="31">
        <f t="shared" si="6"/>
        <v>137004918.2235547</v>
      </c>
      <c r="Q33" s="31">
        <f t="shared" si="6"/>
        <v>199454739.6100508</v>
      </c>
      <c r="R33" s="31">
        <f t="shared" si="6"/>
        <v>277903659.87993658</v>
      </c>
      <c r="S33" s="31">
        <f t="shared" si="6"/>
        <v>385560006.7948125</v>
      </c>
      <c r="T33" s="31">
        <f t="shared" si="6"/>
        <v>536092326.99851424</v>
      </c>
      <c r="U33" s="5"/>
    </row>
    <row r="34" spans="2:21" ht="13" thickBot="1" x14ac:dyDescent="0.4">
      <c r="B34" s="16"/>
      <c r="C34" s="6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15"/>
      <c r="Q34" s="15"/>
      <c r="R34" s="15"/>
      <c r="S34" s="15"/>
      <c r="T34" s="15"/>
      <c r="U34" s="5"/>
    </row>
    <row r="35" spans="2:21" ht="13" thickBot="1" x14ac:dyDescent="0.4">
      <c r="B35" s="16" t="s">
        <v>40</v>
      </c>
      <c r="C35" s="6"/>
      <c r="D35" s="8">
        <f>D33</f>
        <v>101761.66666666663</v>
      </c>
      <c r="E35" s="32">
        <f>D35+E33</f>
        <v>523323.33333333326</v>
      </c>
      <c r="F35" s="32">
        <f>E35+F33</f>
        <v>2256885</v>
      </c>
      <c r="G35" s="32">
        <f t="shared" ref="G35:N35" si="7">F35+G33</f>
        <v>5788980</v>
      </c>
      <c r="H35" s="32">
        <f t="shared" si="7"/>
        <v>10953558.333333334</v>
      </c>
      <c r="I35" s="32">
        <f t="shared" si="7"/>
        <v>18259635</v>
      </c>
      <c r="J35" s="32">
        <f t="shared" si="7"/>
        <v>28757332.75</v>
      </c>
      <c r="K35" s="32">
        <f t="shared" si="7"/>
        <v>42775707.845833331</v>
      </c>
      <c r="L35" s="32">
        <f t="shared" si="7"/>
        <v>60569164.980000004</v>
      </c>
      <c r="M35" s="32">
        <f t="shared" si="7"/>
        <v>81856041.814375013</v>
      </c>
      <c r="N35" s="32">
        <f t="shared" si="7"/>
        <v>107129247.44067709</v>
      </c>
      <c r="O35" s="32">
        <f>N35+O33</f>
        <v>137004918.2235547</v>
      </c>
      <c r="P35" s="15">
        <f>P33</f>
        <v>137004918.2235547</v>
      </c>
      <c r="Q35" s="15">
        <f>P35+Q33</f>
        <v>336459657.83360553</v>
      </c>
      <c r="R35" s="15">
        <f t="shared" ref="R35:T35" si="8">Q35+R33</f>
        <v>614363317.7135421</v>
      </c>
      <c r="S35" s="15">
        <f t="shared" si="8"/>
        <v>999923324.50835466</v>
      </c>
      <c r="T35" s="15">
        <f t="shared" si="8"/>
        <v>1536015651.5068688</v>
      </c>
      <c r="U35" s="5"/>
    </row>
    <row r="36" spans="2:21" ht="13" thickBot="1" x14ac:dyDescent="0.4">
      <c r="B36" s="16"/>
      <c r="C36" s="6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5"/>
      <c r="Q36" s="15"/>
      <c r="R36" s="15"/>
      <c r="S36" s="15"/>
      <c r="T36" s="15"/>
      <c r="U36" s="5"/>
    </row>
    <row r="37" spans="2:21" ht="13" thickBot="1" x14ac:dyDescent="0.4">
      <c r="B37" s="16" t="s">
        <v>41</v>
      </c>
      <c r="C37" s="6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15"/>
      <c r="Q37" s="15"/>
      <c r="R37" s="15"/>
      <c r="S37" s="15"/>
      <c r="T37" s="15"/>
      <c r="U37" s="5"/>
    </row>
    <row r="38" spans="2:21" ht="13" thickBot="1" x14ac:dyDescent="0.4">
      <c r="B38" s="16"/>
      <c r="C38" s="6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5"/>
      <c r="Q38" s="15"/>
      <c r="R38" s="15"/>
      <c r="S38" s="15"/>
      <c r="T38" s="15"/>
      <c r="U38" s="5"/>
    </row>
    <row r="39" spans="2:21" ht="13" thickBot="1" x14ac:dyDescent="0.4">
      <c r="B39" s="16" t="s">
        <v>42</v>
      </c>
      <c r="C39" s="6"/>
      <c r="D39" s="33">
        <f>D35-D37</f>
        <v>101761.66666666663</v>
      </c>
      <c r="E39" s="33">
        <f t="shared" ref="E39:O39" si="9">E35-E37</f>
        <v>523323.33333333326</v>
      </c>
      <c r="F39" s="33">
        <f t="shared" si="9"/>
        <v>2256885</v>
      </c>
      <c r="G39" s="33">
        <f t="shared" si="9"/>
        <v>5788980</v>
      </c>
      <c r="H39" s="33">
        <f t="shared" si="9"/>
        <v>10953558.333333334</v>
      </c>
      <c r="I39" s="33">
        <f t="shared" si="9"/>
        <v>18259635</v>
      </c>
      <c r="J39" s="33">
        <f t="shared" si="9"/>
        <v>28757332.75</v>
      </c>
      <c r="K39" s="33">
        <f t="shared" si="9"/>
        <v>42775707.845833331</v>
      </c>
      <c r="L39" s="33">
        <f t="shared" si="9"/>
        <v>60569164.980000004</v>
      </c>
      <c r="M39" s="33">
        <f t="shared" si="9"/>
        <v>81856041.814375013</v>
      </c>
      <c r="N39" s="33">
        <f t="shared" si="9"/>
        <v>107129247.44067709</v>
      </c>
      <c r="O39" s="33">
        <f t="shared" si="9"/>
        <v>137004918.2235547</v>
      </c>
      <c r="P39" s="15">
        <f>P35-P37</f>
        <v>137004918.2235547</v>
      </c>
      <c r="Q39" s="15">
        <f t="shared" ref="Q39:T39" si="10">Q35-Q37</f>
        <v>336459657.83360553</v>
      </c>
      <c r="R39" s="15">
        <f t="shared" si="10"/>
        <v>614363317.7135421</v>
      </c>
      <c r="S39" s="15">
        <f t="shared" si="10"/>
        <v>999923324.50835466</v>
      </c>
      <c r="T39" s="15">
        <f t="shared" si="10"/>
        <v>1536015651.5068688</v>
      </c>
      <c r="U39" s="5"/>
    </row>
    <row r="40" spans="2:21" ht="13" thickBot="1" x14ac:dyDescent="0.4">
      <c r="B40" s="16"/>
      <c r="C40" s="6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15"/>
      <c r="Q40" s="15"/>
      <c r="R40" s="15"/>
      <c r="S40" s="15"/>
      <c r="T40" s="15"/>
      <c r="U40" s="5"/>
    </row>
    <row r="41" spans="2:21" ht="13" thickBot="1" x14ac:dyDescent="0.4">
      <c r="B41" s="16" t="s">
        <v>43</v>
      </c>
      <c r="C41" s="6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7" t="str">
        <f>IF(P39&gt;0,"1 Year"," ")</f>
        <v>1 Year</v>
      </c>
      <c r="Q41" s="7" t="str">
        <f>IF(Q39&gt;0,"2 Year"," ")</f>
        <v>2 Year</v>
      </c>
      <c r="R41" s="7" t="str">
        <f>IF(R39&gt;0,"3 Year"," ")</f>
        <v>3 Year</v>
      </c>
      <c r="S41" s="7" t="str">
        <f>IF(S39&gt;0,"4 Year"," ")</f>
        <v>4 Year</v>
      </c>
      <c r="T41" s="7" t="str">
        <f>IF(T39&gt;0,"5 Year"," ")</f>
        <v>5 Year</v>
      </c>
    </row>
    <row r="42" spans="2:21" x14ac:dyDescent="0.35"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2:21" x14ac:dyDescent="0.35"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</row>
    <row r="44" spans="2:21" x14ac:dyDescent="0.35"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</row>
  </sheetData>
  <phoneticPr fontId="4" type="noConversion"/>
  <pageMargins left="0.7" right="0.7" top="0.75" bottom="0.75" header="0.3" footer="0.3"/>
  <pageSetup scale="43" orientation="portrait" r:id="rId1"/>
  <ignoredErrors>
    <ignoredError sqref="P3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Assumption-(OH)</vt:lpstr>
      <vt:lpstr>Computations-(OH)</vt:lpstr>
      <vt:lpstr>Computations-Outputs</vt:lpstr>
      <vt:lpstr>'Assumption-(OH)'!Print_Area</vt:lpstr>
      <vt:lpstr>'Computations-(OH)'!Print_Area</vt:lpstr>
      <vt:lpstr>'Computations-Outputs'!Print_Area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john.aigbonohan@medburymedicals.com</dc:creator>
  <cp:lastModifiedBy>MMS PHIA Chief Operational Officer</cp:lastModifiedBy>
  <dcterms:created xsi:type="dcterms:W3CDTF">2023-05-03T11:38:25Z</dcterms:created>
  <dcterms:modified xsi:type="dcterms:W3CDTF">2025-05-03T12:10:26Z</dcterms:modified>
</cp:coreProperties>
</file>