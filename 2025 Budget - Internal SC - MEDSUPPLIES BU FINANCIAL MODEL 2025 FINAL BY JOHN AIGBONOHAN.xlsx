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udgets for MMS\"/>
    </mc:Choice>
  </mc:AlternateContent>
  <xr:revisionPtr revIDLastSave="0" documentId="8_{AB688389-25D0-4DFA-94CD-1D9A47604B8B}" xr6:coauthVersionLast="47" xr6:coauthVersionMax="47" xr10:uidLastSave="{00000000-0000-0000-0000-000000000000}"/>
  <bookViews>
    <workbookView xWindow="-110" yWindow="-110" windowWidth="19420" windowHeight="10300" activeTab="1" xr2:uid="{4CFB4E10-6229-41B1-9DCA-0EAE63BFE968}"/>
  </bookViews>
  <sheets>
    <sheet name="Assumption-(MedSupplies)" sheetId="5" r:id="rId1"/>
    <sheet name="Computations-(MedSupplies)" sheetId="8" r:id="rId2"/>
    <sheet name="Computations-Outputs" sheetId="4" state="hidden" r:id="rId3"/>
  </sheets>
  <definedNames>
    <definedName name="afril">#REF!</definedName>
    <definedName name="AS2DocOpenMode" hidden="1">"AS2DocumentBrowse"</definedName>
    <definedName name="BS">#REF!</definedName>
    <definedName name="CIQWBGuid" hidden="1">"2cd8126d-26c3-430c-b7fa-a069e3a1fc62"</definedName>
    <definedName name="costaa">#REF!</definedName>
    <definedName name="F">#REF!</definedName>
    <definedName name="fs">#REF!</definedName>
    <definedName name="GGGG">#REF!</definedName>
    <definedName name="groupincome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ANS">#REF!</definedName>
    <definedName name="OLDMAN">#REF!</definedName>
    <definedName name="PAC">#REF!</definedName>
    <definedName name="PL">#REF!</definedName>
    <definedName name="_xlnm.Print_Area" localSheetId="0">'Assumption-(MedSupplies)'!$A$1:$O$90</definedName>
    <definedName name="_xlnm.Print_Area" localSheetId="1">'Computations-(MedSupplies)'!$A$1:$T$49</definedName>
    <definedName name="_xlnm.Print_Area" localSheetId="2">'Computations-Outputs'!$A$1:$T$41</definedName>
    <definedName name="REGISTRAR">#REF!</definedName>
    <definedName name="SCHD3">#REF!</definedName>
    <definedName name="SCHED1">#REF!</definedName>
    <definedName name="SCHED2">#REF!</definedName>
    <definedName name="SCHED3">#REF!</definedName>
    <definedName name="SCHED4">#REF!</definedName>
    <definedName name="SEMI">#REF!</definedName>
    <definedName name="SSES">#REF!</definedName>
    <definedName name="SUMMARY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5" l="1"/>
  <c r="C14" i="8"/>
  <c r="C13" i="8"/>
  <c r="C11" i="8"/>
  <c r="E56" i="5"/>
  <c r="F56" i="5" s="1"/>
  <c r="E36" i="5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E54" i="5"/>
  <c r="F54" i="5" s="1"/>
  <c r="E34" i="5"/>
  <c r="F34" i="5" s="1"/>
  <c r="G34" i="5" s="1"/>
  <c r="H34" i="5" s="1"/>
  <c r="I34" i="5" s="1"/>
  <c r="J34" i="5" s="1"/>
  <c r="K34" i="5" s="1"/>
  <c r="L34" i="5" s="1"/>
  <c r="M34" i="5" s="1"/>
  <c r="N34" i="5" s="1"/>
  <c r="O34" i="5" s="1"/>
  <c r="E19" i="5"/>
  <c r="F19" i="5"/>
  <c r="G19" i="5"/>
  <c r="H19" i="5"/>
  <c r="I19" i="5"/>
  <c r="J19" i="5"/>
  <c r="K19" i="5"/>
  <c r="L19" i="5"/>
  <c r="M19" i="5"/>
  <c r="N19" i="5"/>
  <c r="O19" i="5"/>
  <c r="E20" i="5"/>
  <c r="F20" i="5"/>
  <c r="G20" i="5"/>
  <c r="H20" i="5"/>
  <c r="I20" i="5"/>
  <c r="J20" i="5"/>
  <c r="K20" i="5"/>
  <c r="L20" i="5"/>
  <c r="M20" i="5"/>
  <c r="N20" i="5"/>
  <c r="O20" i="5"/>
  <c r="D20" i="5"/>
  <c r="D19" i="5"/>
  <c r="E17" i="5"/>
  <c r="F17" i="5"/>
  <c r="G17" i="5"/>
  <c r="H17" i="5"/>
  <c r="J17" i="5"/>
  <c r="K17" i="5"/>
  <c r="M17" i="5"/>
  <c r="N17" i="5"/>
  <c r="D17" i="5"/>
  <c r="I57" i="5"/>
  <c r="I17" i="5" s="1"/>
  <c r="P58" i="5"/>
  <c r="P59" i="5"/>
  <c r="P60" i="5"/>
  <c r="O55" i="5"/>
  <c r="I55" i="5"/>
  <c r="L55" i="5" s="1"/>
  <c r="G56" i="5" l="1"/>
  <c r="H56" i="5" s="1"/>
  <c r="I56" i="5" s="1"/>
  <c r="J56" i="5" s="1"/>
  <c r="K56" i="5" s="1"/>
  <c r="L56" i="5" s="1"/>
  <c r="M56" i="5" s="1"/>
  <c r="N56" i="5" s="1"/>
  <c r="O56" i="5" s="1"/>
  <c r="G54" i="5"/>
  <c r="H54" i="5" s="1"/>
  <c r="I54" i="5" s="1"/>
  <c r="J54" i="5" s="1"/>
  <c r="K54" i="5" s="1"/>
  <c r="L54" i="5" s="1"/>
  <c r="M54" i="5" s="1"/>
  <c r="N54" i="5" s="1"/>
  <c r="O54" i="5" s="1"/>
  <c r="P55" i="5"/>
  <c r="L57" i="5"/>
  <c r="O57" i="5" s="1"/>
  <c r="O17" i="5" s="1"/>
  <c r="P56" i="5" l="1"/>
  <c r="P54" i="5"/>
  <c r="P57" i="5"/>
  <c r="L17" i="5"/>
  <c r="U103" i="5"/>
  <c r="U104" i="5"/>
  <c r="U101" i="5"/>
  <c r="U102" i="5"/>
  <c r="D26" i="8" l="1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S105" i="5"/>
  <c r="D84" i="5"/>
  <c r="D28" i="8" s="1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D86" i="5"/>
  <c r="D30" i="8" s="1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7" i="8" l="1"/>
  <c r="Q27" i="8" s="1"/>
  <c r="R27" i="8" s="1"/>
  <c r="S27" i="8" s="1"/>
  <c r="T27" i="8" s="1"/>
  <c r="P31" i="8"/>
  <c r="Q31" i="8" s="1"/>
  <c r="R31" i="8" s="1"/>
  <c r="S31" i="8" s="1"/>
  <c r="T31" i="8" s="1"/>
  <c r="D24" i="8" l="1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D88" i="5"/>
  <c r="D32" i="8" s="1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D41" i="8" l="1"/>
  <c r="V111" i="5"/>
  <c r="D21" i="8" s="1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D77" i="5" l="1"/>
  <c r="P34" i="8"/>
  <c r="Q34" i="8" s="1"/>
  <c r="R34" i="8" s="1"/>
  <c r="S34" i="8" s="1"/>
  <c r="T34" i="8" s="1"/>
  <c r="V101" i="5" l="1"/>
  <c r="V102" i="5"/>
  <c r="V103" i="5"/>
  <c r="V104" i="5"/>
  <c r="D71" i="5" l="1"/>
  <c r="D12" i="8" l="1"/>
  <c r="S47" i="5" l="1"/>
  <c r="T47" i="5" s="1"/>
  <c r="V47" i="5" s="1"/>
  <c r="W47" i="5" s="1"/>
  <c r="X47" i="5" s="1"/>
  <c r="Y47" i="5" s="1"/>
  <c r="Z47" i="5" s="1"/>
  <c r="AA47" i="5" s="1"/>
  <c r="AB47" i="5" s="1"/>
  <c r="AC47" i="5" s="1"/>
  <c r="AD47" i="5" s="1"/>
  <c r="S46" i="5"/>
  <c r="T46" i="5" s="1"/>
  <c r="V46" i="5" s="1"/>
  <c r="W46" i="5" s="1"/>
  <c r="X46" i="5" s="1"/>
  <c r="Y46" i="5" s="1"/>
  <c r="Z46" i="5" s="1"/>
  <c r="AA46" i="5" s="1"/>
  <c r="AB46" i="5" s="1"/>
  <c r="AC46" i="5" s="1"/>
  <c r="AD46" i="5" s="1"/>
  <c r="E41" i="8" l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E12" i="8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B6" i="8"/>
  <c r="P41" i="8" l="1"/>
  <c r="Q41" i="8" s="1"/>
  <c r="R41" i="8" s="1"/>
  <c r="S41" i="8" s="1"/>
  <c r="T41" i="8" s="1"/>
  <c r="P26" i="8"/>
  <c r="Q26" i="8" s="1"/>
  <c r="R26" i="8" s="1"/>
  <c r="S26" i="8" s="1"/>
  <c r="T26" i="8" s="1"/>
  <c r="P32" i="8"/>
  <c r="Q32" i="8" s="1"/>
  <c r="R32" i="8" s="1"/>
  <c r="S32" i="8" s="1"/>
  <c r="T32" i="8" s="1"/>
  <c r="P24" i="8"/>
  <c r="Q24" i="8" s="1"/>
  <c r="R24" i="8" s="1"/>
  <c r="S24" i="8" s="1"/>
  <c r="T24" i="8" s="1"/>
  <c r="P28" i="8"/>
  <c r="Q28" i="8" s="1"/>
  <c r="R28" i="8" s="1"/>
  <c r="S28" i="8" s="1"/>
  <c r="T28" i="8" s="1"/>
  <c r="P29" i="8"/>
  <c r="Q29" i="8" s="1"/>
  <c r="R29" i="8" s="1"/>
  <c r="S29" i="8" s="1"/>
  <c r="T29" i="8" s="1"/>
  <c r="P33" i="8"/>
  <c r="Q33" i="8" s="1"/>
  <c r="R33" i="8" s="1"/>
  <c r="S33" i="8" s="1"/>
  <c r="T33" i="8" s="1"/>
  <c r="P25" i="8" l="1"/>
  <c r="Q25" i="8" s="1"/>
  <c r="R25" i="8" s="1"/>
  <c r="S25" i="8" s="1"/>
  <c r="T25" i="8" s="1"/>
  <c r="P30" i="8"/>
  <c r="Q30" i="8" s="1"/>
  <c r="R30" i="8" s="1"/>
  <c r="S30" i="8" s="1"/>
  <c r="T30" i="8" s="1"/>
  <c r="P40" i="5" l="1"/>
  <c r="S40" i="5" s="1"/>
  <c r="P39" i="5"/>
  <c r="R39" i="5" s="1"/>
  <c r="P38" i="5"/>
  <c r="S38" i="5" s="1"/>
  <c r="P37" i="5"/>
  <c r="S37" i="5" s="1"/>
  <c r="P36" i="5"/>
  <c r="R36" i="5" s="1"/>
  <c r="P35" i="5"/>
  <c r="R35" i="5" s="1"/>
  <c r="P34" i="5"/>
  <c r="S34" i="5" s="1"/>
  <c r="P29" i="5"/>
  <c r="P28" i="5"/>
  <c r="P27" i="5"/>
  <c r="P26" i="5"/>
  <c r="S39" i="5" l="1"/>
  <c r="S36" i="5"/>
  <c r="S35" i="5"/>
  <c r="R34" i="5"/>
  <c r="P21" i="8" l="1"/>
  <c r="Q21" i="8" s="1"/>
  <c r="R21" i="8" l="1"/>
  <c r="D7" i="5"/>
  <c r="O8" i="5"/>
  <c r="N8" i="5"/>
  <c r="M8" i="5"/>
  <c r="L8" i="5"/>
  <c r="K8" i="5"/>
  <c r="J8" i="5"/>
  <c r="I8" i="5"/>
  <c r="H8" i="5"/>
  <c r="G8" i="5"/>
  <c r="F8" i="5"/>
  <c r="E8" i="5"/>
  <c r="D8" i="5"/>
  <c r="E9" i="5"/>
  <c r="F9" i="5"/>
  <c r="G9" i="5"/>
  <c r="H9" i="5"/>
  <c r="I9" i="5"/>
  <c r="J9" i="5"/>
  <c r="K9" i="5"/>
  <c r="L9" i="5"/>
  <c r="M9" i="5"/>
  <c r="N9" i="5"/>
  <c r="O9" i="5"/>
  <c r="D9" i="5"/>
  <c r="S21" i="8" l="1"/>
  <c r="P9" i="5"/>
  <c r="P8" i="5"/>
  <c r="E6" i="5"/>
  <c r="D6" i="5"/>
  <c r="B6" i="4"/>
  <c r="T21" i="8" l="1"/>
  <c r="D5" i="5"/>
  <c r="F7" i="5"/>
  <c r="E7" i="5"/>
  <c r="D18" i="5"/>
  <c r="D15" i="5"/>
  <c r="E14" i="5"/>
  <c r="F14" i="5"/>
  <c r="G14" i="5"/>
  <c r="H14" i="5"/>
  <c r="I14" i="5"/>
  <c r="J14" i="5"/>
  <c r="K14" i="5"/>
  <c r="L14" i="5"/>
  <c r="M14" i="5"/>
  <c r="N14" i="5"/>
  <c r="O14" i="5"/>
  <c r="E15" i="5"/>
  <c r="F15" i="5"/>
  <c r="G15" i="5"/>
  <c r="H15" i="5"/>
  <c r="I15" i="5"/>
  <c r="J15" i="5"/>
  <c r="K15" i="5"/>
  <c r="L15" i="5"/>
  <c r="M15" i="5"/>
  <c r="N15" i="5"/>
  <c r="O15" i="5"/>
  <c r="E16" i="5"/>
  <c r="F16" i="5"/>
  <c r="G16" i="5"/>
  <c r="H16" i="5"/>
  <c r="I16" i="5"/>
  <c r="J16" i="5"/>
  <c r="K16" i="5"/>
  <c r="L16" i="5"/>
  <c r="M16" i="5"/>
  <c r="N16" i="5"/>
  <c r="O16" i="5"/>
  <c r="E18" i="5"/>
  <c r="F18" i="5"/>
  <c r="G18" i="5"/>
  <c r="H18" i="5"/>
  <c r="I18" i="5"/>
  <c r="J18" i="5"/>
  <c r="K18" i="5"/>
  <c r="L18" i="5"/>
  <c r="M18" i="5"/>
  <c r="N18" i="5"/>
  <c r="O18" i="5"/>
  <c r="D16" i="5"/>
  <c r="D14" i="5"/>
  <c r="E23" i="4"/>
  <c r="F24" i="4"/>
  <c r="G29" i="4"/>
  <c r="H26" i="4"/>
  <c r="E27" i="4"/>
  <c r="E20" i="4"/>
  <c r="F28" i="4"/>
  <c r="G25" i="4"/>
  <c r="O13" i="5" l="1"/>
  <c r="O6" i="8" s="1"/>
  <c r="D6" i="4"/>
  <c r="E5" i="5"/>
  <c r="P14" i="5"/>
  <c r="P17" i="5"/>
  <c r="P20" i="5"/>
  <c r="P16" i="5"/>
  <c r="P15" i="5"/>
  <c r="P19" i="5"/>
  <c r="P18" i="5"/>
  <c r="G7" i="5"/>
  <c r="F6" i="5"/>
  <c r="K13" i="5"/>
  <c r="K6" i="8" s="1"/>
  <c r="G13" i="5"/>
  <c r="G6" i="8" s="1"/>
  <c r="D13" i="5"/>
  <c r="D6" i="8" s="1"/>
  <c r="F13" i="5"/>
  <c r="F6" i="8" s="1"/>
  <c r="M13" i="5"/>
  <c r="M6" i="8" s="1"/>
  <c r="E13" i="5"/>
  <c r="E6" i="8" s="1"/>
  <c r="J13" i="5"/>
  <c r="J6" i="8" s="1"/>
  <c r="I13" i="5"/>
  <c r="I6" i="8" s="1"/>
  <c r="H13" i="5"/>
  <c r="H6" i="8" s="1"/>
  <c r="N13" i="5"/>
  <c r="N6" i="8" s="1"/>
  <c r="L13" i="5"/>
  <c r="L6" i="8" s="1"/>
  <c r="H20" i="4"/>
  <c r="M28" i="4"/>
  <c r="I28" i="4"/>
  <c r="D28" i="4"/>
  <c r="E28" i="4"/>
  <c r="H27" i="4"/>
  <c r="N29" i="4"/>
  <c r="M24" i="4"/>
  <c r="L27" i="4"/>
  <c r="D20" i="4"/>
  <c r="J29" i="4"/>
  <c r="I24" i="4"/>
  <c r="L20" i="4"/>
  <c r="F29" i="4"/>
  <c r="E24" i="4"/>
  <c r="D23" i="4"/>
  <c r="K26" i="4"/>
  <c r="J25" i="4"/>
  <c r="L23" i="4"/>
  <c r="O20" i="4"/>
  <c r="K20" i="4"/>
  <c r="G20" i="4"/>
  <c r="D24" i="4"/>
  <c r="D27" i="4"/>
  <c r="M29" i="4"/>
  <c r="I29" i="4"/>
  <c r="E29" i="4"/>
  <c r="L28" i="4"/>
  <c r="H28" i="4"/>
  <c r="O27" i="4"/>
  <c r="K27" i="4"/>
  <c r="G27" i="4"/>
  <c r="N26" i="4"/>
  <c r="J26" i="4"/>
  <c r="F26" i="4"/>
  <c r="M25" i="4"/>
  <c r="I25" i="4"/>
  <c r="E25" i="4"/>
  <c r="L24" i="4"/>
  <c r="H24" i="4"/>
  <c r="O23" i="4"/>
  <c r="K23" i="4"/>
  <c r="G23" i="4"/>
  <c r="G26" i="4"/>
  <c r="H23" i="4"/>
  <c r="N20" i="4"/>
  <c r="J20" i="4"/>
  <c r="F20" i="4"/>
  <c r="D26" i="4"/>
  <c r="L29" i="4"/>
  <c r="H29" i="4"/>
  <c r="O28" i="4"/>
  <c r="K28" i="4"/>
  <c r="G28" i="4"/>
  <c r="N27" i="4"/>
  <c r="J27" i="4"/>
  <c r="F27" i="4"/>
  <c r="M26" i="4"/>
  <c r="I26" i="4"/>
  <c r="E26" i="4"/>
  <c r="L25" i="4"/>
  <c r="H25" i="4"/>
  <c r="O24" i="4"/>
  <c r="K24" i="4"/>
  <c r="G24" i="4"/>
  <c r="N23" i="4"/>
  <c r="J23" i="4"/>
  <c r="F23" i="4"/>
  <c r="O26" i="4"/>
  <c r="N25" i="4"/>
  <c r="F25" i="4"/>
  <c r="M20" i="4"/>
  <c r="I20" i="4"/>
  <c r="D29" i="4"/>
  <c r="D25" i="4"/>
  <c r="O29" i="4"/>
  <c r="K29" i="4"/>
  <c r="N28" i="4"/>
  <c r="J28" i="4"/>
  <c r="M27" i="4"/>
  <c r="I27" i="4"/>
  <c r="L26" i="4"/>
  <c r="O25" i="4"/>
  <c r="K25" i="4"/>
  <c r="N24" i="4"/>
  <c r="J24" i="4"/>
  <c r="M23" i="4"/>
  <c r="I23" i="4"/>
  <c r="P13" i="5" l="1"/>
  <c r="E6" i="4"/>
  <c r="P6" i="8"/>
  <c r="Q6" i="8" s="1"/>
  <c r="R6" i="8" s="1"/>
  <c r="S6" i="8" s="1"/>
  <c r="T6" i="8" s="1"/>
  <c r="D8" i="8"/>
  <c r="E8" i="8"/>
  <c r="E13" i="8" s="1"/>
  <c r="H7" i="5"/>
  <c r="F5" i="5"/>
  <c r="G6" i="5"/>
  <c r="P24" i="4"/>
  <c r="Q24" i="4" s="1"/>
  <c r="R24" i="4" s="1"/>
  <c r="S24" i="4" s="1"/>
  <c r="T24" i="4" s="1"/>
  <c r="P28" i="4"/>
  <c r="Q28" i="4" s="1"/>
  <c r="R28" i="4" s="1"/>
  <c r="S28" i="4" s="1"/>
  <c r="T28" i="4" s="1"/>
  <c r="P25" i="4"/>
  <c r="Q25" i="4" s="1"/>
  <c r="R25" i="4" s="1"/>
  <c r="S25" i="4" s="1"/>
  <c r="T25" i="4" s="1"/>
  <c r="P26" i="4"/>
  <c r="Q26" i="4" s="1"/>
  <c r="R26" i="4" s="1"/>
  <c r="S26" i="4" s="1"/>
  <c r="T26" i="4" s="1"/>
  <c r="P20" i="4"/>
  <c r="Q20" i="4" s="1"/>
  <c r="R20" i="4" s="1"/>
  <c r="S20" i="4" s="1"/>
  <c r="T20" i="4" s="1"/>
  <c r="P27" i="4"/>
  <c r="Q27" i="4" s="1"/>
  <c r="R27" i="4" s="1"/>
  <c r="S27" i="4" s="1"/>
  <c r="T27" i="4" s="1"/>
  <c r="P29" i="4"/>
  <c r="Q29" i="4" s="1"/>
  <c r="R29" i="4" s="1"/>
  <c r="S29" i="4" s="1"/>
  <c r="T29" i="4" s="1"/>
  <c r="P23" i="4"/>
  <c r="Q23" i="4" s="1"/>
  <c r="R23" i="4" s="1"/>
  <c r="S23" i="4" s="1"/>
  <c r="T23" i="4" s="1"/>
  <c r="D11" i="8" l="1"/>
  <c r="D13" i="8"/>
  <c r="E9" i="8"/>
  <c r="D14" i="8"/>
  <c r="E11" i="8"/>
  <c r="E14" i="8"/>
  <c r="F8" i="8"/>
  <c r="F6" i="4"/>
  <c r="I7" i="5"/>
  <c r="G5" i="5"/>
  <c r="H6" i="5"/>
  <c r="B7" i="4"/>
  <c r="F9" i="8" l="1"/>
  <c r="F13" i="8"/>
  <c r="F14" i="8"/>
  <c r="F11" i="8"/>
  <c r="G6" i="4"/>
  <c r="J7" i="5"/>
  <c r="H5" i="5"/>
  <c r="I6" i="5"/>
  <c r="L7" i="4"/>
  <c r="D7" i="4"/>
  <c r="D9" i="4" s="1"/>
  <c r="N7" i="4"/>
  <c r="F7" i="4"/>
  <c r="F9" i="4" s="1"/>
  <c r="M7" i="4"/>
  <c r="E7" i="4"/>
  <c r="E9" i="4" s="1"/>
  <c r="J7" i="4"/>
  <c r="I7" i="4"/>
  <c r="K7" i="4"/>
  <c r="H7" i="4"/>
  <c r="O7" i="4"/>
  <c r="G7" i="4"/>
  <c r="G9" i="4" l="1"/>
  <c r="G8" i="8"/>
  <c r="H6" i="4"/>
  <c r="H9" i="4" s="1"/>
  <c r="H8" i="8"/>
  <c r="H13" i="8" s="1"/>
  <c r="K7" i="5"/>
  <c r="I5" i="5"/>
  <c r="J6" i="5"/>
  <c r="D21" i="4"/>
  <c r="E21" i="4"/>
  <c r="M21" i="4"/>
  <c r="F21" i="4"/>
  <c r="N21" i="4"/>
  <c r="L21" i="4"/>
  <c r="G21" i="4"/>
  <c r="O21" i="4"/>
  <c r="H21" i="4"/>
  <c r="J21" i="4"/>
  <c r="I21" i="4"/>
  <c r="K21" i="4"/>
  <c r="P7" i="4"/>
  <c r="G9" i="8" l="1"/>
  <c r="G13" i="8"/>
  <c r="H9" i="8"/>
  <c r="G11" i="8"/>
  <c r="G14" i="8"/>
  <c r="H14" i="8"/>
  <c r="H11" i="8"/>
  <c r="I6" i="4"/>
  <c r="I9" i="4" s="1"/>
  <c r="I13" i="4" s="1"/>
  <c r="I8" i="8"/>
  <c r="L7" i="5"/>
  <c r="J5" i="5"/>
  <c r="K6" i="5"/>
  <c r="Q7" i="4"/>
  <c r="F22" i="4"/>
  <c r="J22" i="4"/>
  <c r="N22" i="4"/>
  <c r="M22" i="4"/>
  <c r="G22" i="4"/>
  <c r="K22" i="4"/>
  <c r="O22" i="4"/>
  <c r="E22" i="4"/>
  <c r="H22" i="4"/>
  <c r="L22" i="4"/>
  <c r="D22" i="4"/>
  <c r="I22" i="4"/>
  <c r="H13" i="4"/>
  <c r="H12" i="4"/>
  <c r="F12" i="4"/>
  <c r="F13" i="4"/>
  <c r="E12" i="4"/>
  <c r="E13" i="4"/>
  <c r="G13" i="4"/>
  <c r="G12" i="4"/>
  <c r="D13" i="4"/>
  <c r="D12" i="4"/>
  <c r="I9" i="8" l="1"/>
  <c r="I13" i="8"/>
  <c r="I11" i="8"/>
  <c r="I14" i="8"/>
  <c r="I12" i="4"/>
  <c r="I15" i="4" s="1"/>
  <c r="J6" i="4"/>
  <c r="J9" i="4" s="1"/>
  <c r="J12" i="4" s="1"/>
  <c r="M7" i="5"/>
  <c r="K5" i="5"/>
  <c r="L6" i="5"/>
  <c r="R7" i="4"/>
  <c r="D15" i="4"/>
  <c r="D17" i="4" s="1"/>
  <c r="P22" i="4"/>
  <c r="Q22" i="4" s="1"/>
  <c r="R22" i="4" s="1"/>
  <c r="S22" i="4" s="1"/>
  <c r="T22" i="4" s="1"/>
  <c r="F15" i="4"/>
  <c r="G15" i="4"/>
  <c r="H15" i="4"/>
  <c r="E15" i="4"/>
  <c r="J13" i="4" l="1"/>
  <c r="J15" i="4" s="1"/>
  <c r="J17" i="4" s="1"/>
  <c r="K6" i="4"/>
  <c r="K9" i="4" s="1"/>
  <c r="K13" i="4" s="1"/>
  <c r="K8" i="8"/>
  <c r="K13" i="8" s="1"/>
  <c r="J8" i="8"/>
  <c r="N7" i="5"/>
  <c r="L5" i="5"/>
  <c r="M6" i="5"/>
  <c r="S7" i="4"/>
  <c r="I17" i="4"/>
  <c r="H17" i="4"/>
  <c r="E17" i="4"/>
  <c r="F17" i="4"/>
  <c r="N31" i="4"/>
  <c r="G17" i="4"/>
  <c r="J9" i="8" l="1"/>
  <c r="J13" i="8"/>
  <c r="K9" i="8"/>
  <c r="K11" i="8"/>
  <c r="K14" i="8"/>
  <c r="J11" i="8"/>
  <c r="J14" i="8"/>
  <c r="K12" i="4"/>
  <c r="K15" i="4" s="1"/>
  <c r="K17" i="4" s="1"/>
  <c r="L6" i="4"/>
  <c r="L9" i="4" s="1"/>
  <c r="L12" i="4" s="1"/>
  <c r="L8" i="8"/>
  <c r="O7" i="5"/>
  <c r="P7" i="5" s="1"/>
  <c r="M5" i="5"/>
  <c r="N6" i="5"/>
  <c r="O6" i="5"/>
  <c r="F31" i="4"/>
  <c r="F33" i="4" s="1"/>
  <c r="L31" i="4"/>
  <c r="O31" i="4"/>
  <c r="M31" i="4"/>
  <c r="T7" i="4"/>
  <c r="E31" i="4"/>
  <c r="E33" i="4" s="1"/>
  <c r="G31" i="4"/>
  <c r="G33" i="4" s="1"/>
  <c r="I31" i="4"/>
  <c r="I33" i="4" s="1"/>
  <c r="D31" i="4"/>
  <c r="D33" i="4" s="1"/>
  <c r="D35" i="4" s="1"/>
  <c r="P21" i="4"/>
  <c r="Q21" i="4" s="1"/>
  <c r="H31" i="4"/>
  <c r="H33" i="4" s="1"/>
  <c r="K31" i="4"/>
  <c r="J31" i="4"/>
  <c r="J33" i="4" s="1"/>
  <c r="L9" i="8" l="1"/>
  <c r="L13" i="8"/>
  <c r="L11" i="8"/>
  <c r="L14" i="8"/>
  <c r="L13" i="4"/>
  <c r="L15" i="4" s="1"/>
  <c r="L17" i="4" s="1"/>
  <c r="L33" i="4" s="1"/>
  <c r="K33" i="4"/>
  <c r="M6" i="4"/>
  <c r="M9" i="4" s="1"/>
  <c r="M12" i="4" s="1"/>
  <c r="M8" i="8"/>
  <c r="P6" i="5"/>
  <c r="N5" i="5"/>
  <c r="O5" i="5"/>
  <c r="D39" i="4"/>
  <c r="E35" i="4"/>
  <c r="R21" i="4"/>
  <c r="Q31" i="4"/>
  <c r="P31" i="4"/>
  <c r="M9" i="8" l="1"/>
  <c r="M13" i="8"/>
  <c r="M11" i="8"/>
  <c r="M14" i="8"/>
  <c r="M13" i="4"/>
  <c r="M15" i="4" s="1"/>
  <c r="M17" i="4" s="1"/>
  <c r="M33" i="4" s="1"/>
  <c r="N6" i="4"/>
  <c r="N9" i="4" s="1"/>
  <c r="N8" i="8"/>
  <c r="O8" i="8"/>
  <c r="O13" i="8" s="1"/>
  <c r="O6" i="4"/>
  <c r="O9" i="4" s="1"/>
  <c r="O12" i="4" s="1"/>
  <c r="P5" i="5"/>
  <c r="F35" i="4"/>
  <c r="E39" i="4"/>
  <c r="S21" i="4"/>
  <c r="R31" i="4"/>
  <c r="K69" i="5" l="1"/>
  <c r="N9" i="8"/>
  <c r="N13" i="8"/>
  <c r="O9" i="8"/>
  <c r="D16" i="8"/>
  <c r="N14" i="8"/>
  <c r="N11" i="8"/>
  <c r="O11" i="8"/>
  <c r="O14" i="8"/>
  <c r="O13" i="4"/>
  <c r="O15" i="4" s="1"/>
  <c r="O17" i="4" s="1"/>
  <c r="O33" i="4" s="1"/>
  <c r="P6" i="4"/>
  <c r="P9" i="4" s="1"/>
  <c r="Q13" i="4" s="1"/>
  <c r="N12" i="4"/>
  <c r="P12" i="4" s="1"/>
  <c r="N13" i="4"/>
  <c r="G35" i="4"/>
  <c r="F39" i="4"/>
  <c r="T21" i="4"/>
  <c r="T31" i="4" s="1"/>
  <c r="S31" i="4"/>
  <c r="D35" i="8" l="1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D18" i="8"/>
  <c r="D72" i="5"/>
  <c r="D73" i="5"/>
  <c r="D70" i="5"/>
  <c r="E16" i="8"/>
  <c r="P12" i="8"/>
  <c r="Q12" i="8" s="1"/>
  <c r="P11" i="8"/>
  <c r="P8" i="8"/>
  <c r="P14" i="8"/>
  <c r="Q6" i="4"/>
  <c r="R6" i="4" s="1"/>
  <c r="S6" i="4" s="1"/>
  <c r="S9" i="4" s="1"/>
  <c r="Q12" i="4"/>
  <c r="Q15" i="4" s="1"/>
  <c r="N15" i="4"/>
  <c r="N17" i="4" s="1"/>
  <c r="N33" i="4" s="1"/>
  <c r="P13" i="4"/>
  <c r="P15" i="4" s="1"/>
  <c r="P17" i="4" s="1"/>
  <c r="G39" i="4"/>
  <c r="H35" i="4"/>
  <c r="Q11" i="8" l="1"/>
  <c r="R12" i="8"/>
  <c r="S12" i="8" s="1"/>
  <c r="T12" i="8" s="1"/>
  <c r="E18" i="8"/>
  <c r="D74" i="5"/>
  <c r="D79" i="5" s="1"/>
  <c r="D23" i="8" s="1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F16" i="8"/>
  <c r="T6" i="4"/>
  <c r="T9" i="4" s="1"/>
  <c r="Q14" i="8"/>
  <c r="Q9" i="4"/>
  <c r="R12" i="4" s="1"/>
  <c r="R9" i="4"/>
  <c r="S13" i="4" s="1"/>
  <c r="Q8" i="8"/>
  <c r="Q13" i="8" s="1"/>
  <c r="P33" i="4"/>
  <c r="P35" i="4" s="1"/>
  <c r="P39" i="4" s="1"/>
  <c r="P41" i="4" s="1"/>
  <c r="T13" i="4"/>
  <c r="T12" i="4"/>
  <c r="I35" i="4"/>
  <c r="H39" i="4"/>
  <c r="Q9" i="8" l="1"/>
  <c r="F18" i="8"/>
  <c r="P35" i="8"/>
  <c r="Q35" i="8" s="1"/>
  <c r="R35" i="8" s="1"/>
  <c r="S35" i="8" s="1"/>
  <c r="T35" i="8" s="1"/>
  <c r="D78" i="5"/>
  <c r="D22" i="8" s="1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3" i="8"/>
  <c r="Q23" i="8" s="1"/>
  <c r="R23" i="8" s="1"/>
  <c r="S23" i="8" s="1"/>
  <c r="T23" i="8" s="1"/>
  <c r="G16" i="8"/>
  <c r="R13" i="4"/>
  <c r="R15" i="4" s="1"/>
  <c r="R17" i="4" s="1"/>
  <c r="R33" i="4" s="1"/>
  <c r="S12" i="4"/>
  <c r="S15" i="4" s="1"/>
  <c r="S17" i="4" s="1"/>
  <c r="S33" i="4" s="1"/>
  <c r="R11" i="8"/>
  <c r="R14" i="8"/>
  <c r="Q16" i="8"/>
  <c r="Q18" i="8" s="1"/>
  <c r="Q17" i="4"/>
  <c r="Q33" i="4" s="1"/>
  <c r="Q35" i="4" s="1"/>
  <c r="Q39" i="4" s="1"/>
  <c r="Q41" i="4" s="1"/>
  <c r="R8" i="8"/>
  <c r="R13" i="8" s="1"/>
  <c r="T15" i="4"/>
  <c r="T17" i="4" s="1"/>
  <c r="T33" i="4" s="1"/>
  <c r="J35" i="4"/>
  <c r="I39" i="4"/>
  <c r="R9" i="8" l="1"/>
  <c r="G18" i="8"/>
  <c r="D37" i="8"/>
  <c r="D39" i="8" s="1"/>
  <c r="D43" i="8" s="1"/>
  <c r="D45" i="8" s="1"/>
  <c r="D49" i="8" s="1"/>
  <c r="F37" i="8"/>
  <c r="F39" i="8" s="1"/>
  <c r="F43" i="8" s="1"/>
  <c r="E37" i="8"/>
  <c r="E39" i="8" s="1"/>
  <c r="E43" i="8" s="1"/>
  <c r="H16" i="8"/>
  <c r="S11" i="8"/>
  <c r="S14" i="8"/>
  <c r="T8" i="8"/>
  <c r="T13" i="8" s="1"/>
  <c r="S8" i="8"/>
  <c r="S13" i="8" s="1"/>
  <c r="R16" i="8"/>
  <c r="R18" i="8" s="1"/>
  <c r="R35" i="4"/>
  <c r="R39" i="4" s="1"/>
  <c r="R41" i="4" s="1"/>
  <c r="K35" i="4"/>
  <c r="J39" i="4"/>
  <c r="S9" i="8" l="1"/>
  <c r="H18" i="8"/>
  <c r="T9" i="8"/>
  <c r="E45" i="8"/>
  <c r="E49" i="8" s="1"/>
  <c r="I16" i="8"/>
  <c r="T14" i="8"/>
  <c r="T11" i="8"/>
  <c r="S16" i="8"/>
  <c r="S18" i="8" s="1"/>
  <c r="S35" i="4"/>
  <c r="S39" i="4" s="1"/>
  <c r="S41" i="4" s="1"/>
  <c r="L35" i="4"/>
  <c r="K39" i="4"/>
  <c r="I18" i="8" l="1"/>
  <c r="G37" i="8"/>
  <c r="G39" i="8" s="1"/>
  <c r="G43" i="8" s="1"/>
  <c r="F45" i="8"/>
  <c r="F49" i="8" s="1"/>
  <c r="J16" i="8"/>
  <c r="H37" i="8"/>
  <c r="H39" i="8" s="1"/>
  <c r="H43" i="8" s="1"/>
  <c r="T16" i="8"/>
  <c r="T18" i="8" s="1"/>
  <c r="T35" i="4"/>
  <c r="T39" i="4" s="1"/>
  <c r="T41" i="4" s="1"/>
  <c r="M35" i="4"/>
  <c r="L39" i="4"/>
  <c r="J18" i="8" l="1"/>
  <c r="G45" i="8"/>
  <c r="G49" i="8" s="1"/>
  <c r="K16" i="8"/>
  <c r="I37" i="8"/>
  <c r="I39" i="8" s="1"/>
  <c r="I43" i="8" s="1"/>
  <c r="N35" i="4"/>
  <c r="M39" i="4"/>
  <c r="K18" i="8" l="1"/>
  <c r="H45" i="8"/>
  <c r="H49" i="8" s="1"/>
  <c r="L16" i="8"/>
  <c r="J37" i="8"/>
  <c r="J39" i="8" s="1"/>
  <c r="J43" i="8" s="1"/>
  <c r="O35" i="4"/>
  <c r="O39" i="4" s="1"/>
  <c r="N39" i="4"/>
  <c r="L18" i="8" l="1"/>
  <c r="I45" i="8"/>
  <c r="I49" i="8" s="1"/>
  <c r="M16" i="8"/>
  <c r="K37" i="8"/>
  <c r="K39" i="8" s="1"/>
  <c r="K43" i="8" s="1"/>
  <c r="M18" i="8" l="1"/>
  <c r="J45" i="8"/>
  <c r="J49" i="8" s="1"/>
  <c r="N16" i="8"/>
  <c r="L37" i="8"/>
  <c r="L39" i="8" s="1"/>
  <c r="L43" i="8" s="1"/>
  <c r="N18" i="8" l="1"/>
  <c r="K45" i="8"/>
  <c r="K49" i="8" s="1"/>
  <c r="O16" i="8"/>
  <c r="P13" i="8"/>
  <c r="M37" i="8"/>
  <c r="M39" i="8" s="1"/>
  <c r="M43" i="8" s="1"/>
  <c r="P16" i="8" l="1"/>
  <c r="O18" i="8"/>
  <c r="L45" i="8"/>
  <c r="L49" i="8" s="1"/>
  <c r="N37" i="8"/>
  <c r="N39" i="8" s="1"/>
  <c r="N43" i="8" s="1"/>
  <c r="P17" i="8" l="1"/>
  <c r="P18" i="8"/>
  <c r="P19" i="8" s="1"/>
  <c r="M45" i="8"/>
  <c r="M49" i="8" s="1"/>
  <c r="O37" i="8"/>
  <c r="O39" i="8" s="1"/>
  <c r="O43" i="8" s="1"/>
  <c r="P22" i="8"/>
  <c r="N45" i="8" l="1"/>
  <c r="N49" i="8" s="1"/>
  <c r="P37" i="8"/>
  <c r="Q22" i="8"/>
  <c r="Q37" i="8" s="1"/>
  <c r="Q38" i="8" s="1"/>
  <c r="P38" i="8" l="1"/>
  <c r="P39" i="8"/>
  <c r="P43" i="8" s="1"/>
  <c r="P45" i="8" s="1"/>
  <c r="P49" i="8" s="1"/>
  <c r="P51" i="8" s="1"/>
  <c r="O45" i="8"/>
  <c r="O49" i="8" s="1"/>
  <c r="Q39" i="8"/>
  <c r="Q43" i="8" s="1"/>
  <c r="Q44" i="8" s="1"/>
  <c r="R22" i="8"/>
  <c r="R37" i="8" s="1"/>
  <c r="R39" i="8" l="1"/>
  <c r="R43" i="8" s="1"/>
  <c r="R44" i="8" s="1"/>
  <c r="R38" i="8"/>
  <c r="P44" i="8"/>
  <c r="Q45" i="8"/>
  <c r="Q49" i="8" s="1"/>
  <c r="Q51" i="8" s="1"/>
  <c r="S22" i="8"/>
  <c r="S37" i="8" s="1"/>
  <c r="S39" i="8" l="1"/>
  <c r="S43" i="8" s="1"/>
  <c r="S44" i="8" s="1"/>
  <c r="S38" i="8"/>
  <c r="R45" i="8"/>
  <c r="R49" i="8" s="1"/>
  <c r="R51" i="8" s="1"/>
  <c r="T22" i="8"/>
  <c r="T37" i="8" l="1"/>
  <c r="S45" i="8"/>
  <c r="S49" i="8" s="1"/>
  <c r="S51" i="8" s="1"/>
  <c r="T39" i="8" l="1"/>
  <c r="T43" i="8" s="1"/>
  <c r="T44" i="8" s="1"/>
  <c r="T38" i="8"/>
  <c r="T45" i="8" l="1"/>
  <c r="T49" i="8" s="1"/>
  <c r="T51" i="8" s="1"/>
</calcChain>
</file>

<file path=xl/sharedStrings.xml><?xml version="1.0" encoding="utf-8"?>
<sst xmlns="http://schemas.openxmlformats.org/spreadsheetml/2006/main" count="237" uniqueCount="124">
  <si>
    <t>May</t>
  </si>
  <si>
    <t>NGN</t>
  </si>
  <si>
    <t>Revenue</t>
  </si>
  <si>
    <t>Total Revenue</t>
  </si>
  <si>
    <t>Cost of Revenue</t>
  </si>
  <si>
    <t>Operating expenses</t>
  </si>
  <si>
    <t>EBITDA</t>
  </si>
  <si>
    <t>Live_Case</t>
  </si>
  <si>
    <t>Average  no of Patient</t>
  </si>
  <si>
    <t>Average case - Price</t>
  </si>
  <si>
    <t>Gross Profit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</si>
  <si>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</si>
  <si>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</si>
  <si>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</si>
  <si>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</si>
  <si>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</si>
  <si>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</si>
  <si>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</si>
  <si>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</si>
  <si>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</si>
  <si>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</si>
  <si>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</si>
  <si>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Water</t>
  </si>
  <si>
    <t>Security</t>
  </si>
  <si>
    <t>Electricity</t>
  </si>
  <si>
    <t>Diesel &amp; Fuel</t>
  </si>
  <si>
    <t>Cleaning</t>
  </si>
  <si>
    <t>Internet</t>
  </si>
  <si>
    <t>Printing &amp; Stationery</t>
  </si>
  <si>
    <t>Bank Charges</t>
  </si>
  <si>
    <t>Repair&amp;Maintenance</t>
  </si>
  <si>
    <t>Staff cost</t>
  </si>
  <si>
    <t>Direct cost reagent</t>
  </si>
  <si>
    <t>Other direct cost</t>
  </si>
  <si>
    <t>% of COS</t>
  </si>
  <si>
    <t>% of Rev</t>
  </si>
  <si>
    <t>Price Inflation</t>
  </si>
  <si>
    <t>Cost Inflation</t>
  </si>
  <si>
    <t>Total Opex</t>
  </si>
  <si>
    <t>Revenue Growth rate</t>
  </si>
  <si>
    <t>Accumulated EBITDA</t>
  </si>
  <si>
    <t>Total Investment</t>
  </si>
  <si>
    <t>Pay back Balance</t>
  </si>
  <si>
    <t>Pay back Period</t>
  </si>
  <si>
    <t>Total Direct Cost</t>
  </si>
  <si>
    <t>FY 1</t>
  </si>
  <si>
    <t>Cleaning Services</t>
  </si>
  <si>
    <t>FY 2</t>
  </si>
  <si>
    <t>FY 3</t>
  </si>
  <si>
    <t>FY 4</t>
  </si>
  <si>
    <t>FY 5</t>
  </si>
  <si>
    <t xml:space="preserve">Corporate </t>
  </si>
  <si>
    <t>Computations-Outputs</t>
  </si>
  <si>
    <t>Assumptions-Inputs</t>
  </si>
  <si>
    <t>Other Inputs</t>
  </si>
  <si>
    <t>Wellness Packages</t>
  </si>
  <si>
    <t>IV micronutrient Therapy (Vitamins, Amino Acids,(in clinic &amp; Home)</t>
  </si>
  <si>
    <t>IV micronutrient Therapy Weight loss  (Slim boost(in clinic &amp; Home)</t>
  </si>
  <si>
    <t>Average price spent per person</t>
  </si>
  <si>
    <t>Rent</t>
  </si>
  <si>
    <t>Weight loss programs (Meal Plans,  etc)</t>
  </si>
  <si>
    <t>Medical Weight loss programs (Mounjaro, etc)</t>
  </si>
  <si>
    <t>% on 2024 actual cost</t>
  </si>
  <si>
    <t>% on Projected Revenue</t>
  </si>
  <si>
    <t>Projected Revenue</t>
  </si>
  <si>
    <t>Stationery, fliers, banners and general adverts</t>
  </si>
  <si>
    <t>Advert, Printing &amp; Stationery</t>
  </si>
  <si>
    <t>Rent for 4 centres</t>
  </si>
  <si>
    <t>Direct Cost - Staff</t>
  </si>
  <si>
    <t>Direct Cost - Overheads &amp; Others</t>
  </si>
  <si>
    <t>Indirect Staff Cost</t>
  </si>
  <si>
    <t>Local Govt Levies &amp; Charges</t>
  </si>
  <si>
    <t>Depreciation Expenses</t>
  </si>
  <si>
    <t>Insurance Expenses</t>
  </si>
  <si>
    <r>
      <t>Net Profit/</t>
    </r>
    <r>
      <rPr>
        <b/>
        <sz val="12"/>
        <color rgb="FFFF0000"/>
        <rFont val="Aptos Display"/>
        <family val="2"/>
      </rPr>
      <t>(Loss)</t>
    </r>
  </si>
  <si>
    <t>Direct Cost - Sales Commission</t>
  </si>
  <si>
    <t>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</si>
  <si>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</si>
  <si>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</si>
  <si>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</si>
  <si>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</si>
  <si>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</si>
  <si>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</si>
  <si>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</si>
  <si>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</si>
  <si>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</si>
  <si>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</si>
  <si>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</si>
  <si>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Direct Cost - 3rd Party Services</t>
  </si>
  <si>
    <t>Amount (₦)</t>
  </si>
  <si>
    <t>Grossed-up Rate (₦)</t>
  </si>
  <si>
    <r>
      <t>Net Rate (</t>
    </r>
    <r>
      <rPr>
        <b/>
        <sz val="12"/>
        <color theme="1"/>
        <rFont val="Aptos Narrow"/>
        <family val="2"/>
      </rPr>
      <t>₦</t>
    </r>
    <r>
      <rPr>
        <b/>
        <sz val="12"/>
        <color theme="1"/>
        <rFont val="Aptos Display"/>
        <family val="2"/>
      </rPr>
      <t>)</t>
    </r>
  </si>
  <si>
    <t>Contribution</t>
  </si>
  <si>
    <t>COO</t>
  </si>
  <si>
    <t>Lead Accountant</t>
  </si>
  <si>
    <t xml:space="preserve">pro-rated based on </t>
  </si>
  <si>
    <t>Monthly Operating Expenses</t>
  </si>
  <si>
    <t>Based on Mar 2025 Cost</t>
  </si>
  <si>
    <t>₦</t>
  </si>
  <si>
    <t>Indirect staff Cost</t>
  </si>
  <si>
    <t>Fuel - Pool Cars</t>
  </si>
  <si>
    <t>Car Hire</t>
  </si>
  <si>
    <t>including provison for expected salary raise</t>
  </si>
  <si>
    <t>No increment included</t>
  </si>
  <si>
    <t>Call Centre Software Subscription</t>
  </si>
  <si>
    <t>  Revenue - Medical Supplies</t>
  </si>
  <si>
    <t>  Revenue - Medbury Intergrated Services - Non Medicals Supplies</t>
  </si>
  <si>
    <t>  Revenue - Supply of Drugs</t>
  </si>
  <si>
    <t>  Revenue - Supply of Equipments &amp; Machineries</t>
  </si>
  <si>
    <t>  Revenue-  PPEs</t>
  </si>
  <si>
    <t>  Revenue- In- House Sales (Project)</t>
  </si>
  <si>
    <t>  Revenue- In- House Sales</t>
  </si>
  <si>
    <t xml:space="preserve">Medsupplies </t>
  </si>
  <si>
    <t>Medsupplies</t>
  </si>
  <si>
    <t>Average price per case</t>
  </si>
  <si>
    <t>  Revenue- In- House Sales (Diagnostics etc)</t>
  </si>
  <si>
    <t>Direct Cost of Sale</t>
  </si>
  <si>
    <t>COO Supply Chain Mgr</t>
  </si>
  <si>
    <t>Supply chain officer</t>
  </si>
  <si>
    <t>Procurement</t>
  </si>
  <si>
    <t>Inventory officer</t>
  </si>
  <si>
    <t>Rent/ Warehouse</t>
  </si>
  <si>
    <t>Local Govt Levies &amp; Charges (NCEC)</t>
  </si>
  <si>
    <t>Logistics/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</si>
</sst>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;[Red]\(#,##0\)"/>
    <numFmt numFmtId="168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3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theme="1"/>
      <name val="Trebuchet MS"/>
      <family val="2"/>
    </font>
    <font>
      <b/>
      <sz val="12"/>
      <color theme="3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b/>
      <sz val="12"/>
      <color rgb="FFFF0000"/>
      <name val="Aptos Display"/>
      <family val="2"/>
    </font>
    <font>
      <b/>
      <sz val="12"/>
      <color theme="1"/>
      <name val="Aptos Narrow"/>
      <family val="2"/>
    </font>
    <font>
      <sz val="12"/>
      <color theme="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8" fillId="0" borderId="4" xfId="5" applyFont="1" applyAlignment="1">
      <alignment horizontal="left" vertical="center"/>
    </xf>
    <xf numFmtId="0" fontId="8" fillId="0" borderId="4" xfId="5" applyFont="1" applyAlignment="1">
      <alignment horizontal="center" vertical="center"/>
    </xf>
    <xf numFmtId="164" fontId="8" fillId="0" borderId="4" xfId="5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1" applyFont="1" applyBorder="1" applyAlignment="1">
      <alignment horizontal="center" vertical="center"/>
    </xf>
    <xf numFmtId="165" fontId="10" fillId="0" borderId="0" xfId="1" applyNumberFormat="1" applyFont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165" fontId="8" fillId="0" borderId="4" xfId="5" applyNumberFormat="1" applyFont="1" applyAlignment="1">
      <alignment horizontal="center" vertical="center"/>
    </xf>
    <xf numFmtId="43" fontId="9" fillId="0" borderId="0" xfId="1" applyNumberFormat="1" applyFont="1" applyBorder="1" applyAlignment="1">
      <alignment horizontal="center" vertical="center"/>
    </xf>
    <xf numFmtId="165" fontId="8" fillId="0" borderId="4" xfId="1" applyNumberFormat="1" applyFont="1" applyBorder="1" applyAlignment="1">
      <alignment horizontal="left" vertical="center"/>
    </xf>
    <xf numFmtId="0" fontId="8" fillId="0" borderId="4" xfId="5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165" fontId="8" fillId="0" borderId="4" xfId="5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4" xfId="5" applyNumberFormat="1" applyFont="1" applyAlignment="1">
      <alignment vertical="center"/>
    </xf>
    <xf numFmtId="0" fontId="6" fillId="0" borderId="2" xfId="3" applyFont="1" applyAlignment="1">
      <alignment vertical="center"/>
    </xf>
    <xf numFmtId="0" fontId="6" fillId="0" borderId="2" xfId="3" applyFont="1" applyAlignment="1">
      <alignment horizontal="center" vertical="center"/>
    </xf>
    <xf numFmtId="164" fontId="6" fillId="0" borderId="2" xfId="3" applyNumberFormat="1" applyFont="1" applyAlignment="1">
      <alignment horizontal="center" vertical="center"/>
    </xf>
    <xf numFmtId="0" fontId="6" fillId="0" borderId="3" xfId="4" applyAlignment="1">
      <alignment vertical="center"/>
    </xf>
    <xf numFmtId="0" fontId="6" fillId="0" borderId="3" xfId="4" applyAlignment="1">
      <alignment horizontal="center" vertical="center"/>
    </xf>
    <xf numFmtId="17" fontId="6" fillId="0" borderId="3" xfId="4" applyNumberFormat="1" applyAlignment="1">
      <alignment horizontal="center" vertical="center"/>
    </xf>
    <xf numFmtId="0" fontId="6" fillId="0" borderId="2" xfId="3" applyFont="1" applyAlignment="1">
      <alignment horizontal="left" vertical="center"/>
    </xf>
    <xf numFmtId="165" fontId="8" fillId="0" borderId="4" xfId="1" applyNumberFormat="1" applyFont="1" applyBorder="1" applyAlignment="1">
      <alignment vertical="center"/>
    </xf>
    <xf numFmtId="164" fontId="8" fillId="0" borderId="4" xfId="5" applyNumberFormat="1" applyFont="1" applyAlignment="1">
      <alignment vertical="center"/>
    </xf>
    <xf numFmtId="164" fontId="8" fillId="0" borderId="4" xfId="1" applyFont="1" applyBorder="1" applyAlignment="1">
      <alignment horizontal="center" vertical="center"/>
    </xf>
    <xf numFmtId="43" fontId="8" fillId="0" borderId="4" xfId="5" applyNumberFormat="1" applyFont="1" applyAlignment="1">
      <alignment horizontal="left" vertical="center"/>
    </xf>
    <xf numFmtId="43" fontId="8" fillId="0" borderId="4" xfId="5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2" xfId="3" applyFont="1" applyAlignment="1">
      <alignment horizontal="left" vertical="center"/>
    </xf>
    <xf numFmtId="0" fontId="12" fillId="0" borderId="2" xfId="3" applyFont="1" applyAlignment="1">
      <alignment vertical="center"/>
    </xf>
    <xf numFmtId="0" fontId="12" fillId="0" borderId="2" xfId="3" applyFont="1" applyAlignment="1">
      <alignment horizontal="center" vertical="center"/>
    </xf>
    <xf numFmtId="164" fontId="12" fillId="0" borderId="2" xfId="3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" xfId="4" applyFont="1" applyAlignment="1">
      <alignment horizontal="center" vertical="center"/>
    </xf>
    <xf numFmtId="0" fontId="12" fillId="0" borderId="3" xfId="4" applyFont="1" applyAlignment="1">
      <alignment vertical="center"/>
    </xf>
    <xf numFmtId="17" fontId="12" fillId="0" borderId="3" xfId="4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4" xfId="5" applyFont="1" applyAlignment="1">
      <alignment vertical="center"/>
    </xf>
    <xf numFmtId="0" fontId="12" fillId="0" borderId="4" xfId="5" applyFont="1" applyAlignment="1">
      <alignment horizontal="center" vertical="center"/>
    </xf>
    <xf numFmtId="164" fontId="12" fillId="0" borderId="4" xfId="5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64" fontId="13" fillId="0" borderId="0" xfId="1" applyFont="1" applyBorder="1" applyAlignment="1">
      <alignment horizontal="center" vertical="center"/>
    </xf>
    <xf numFmtId="165" fontId="13" fillId="0" borderId="0" xfId="1" applyNumberFormat="1" applyFont="1" applyBorder="1" applyAlignment="1">
      <alignment horizontal="center" vertical="center"/>
    </xf>
    <xf numFmtId="165" fontId="12" fillId="0" borderId="4" xfId="1" applyNumberFormat="1" applyFont="1" applyBorder="1" applyAlignment="1">
      <alignment vertical="center"/>
    </xf>
    <xf numFmtId="165" fontId="12" fillId="0" borderId="4" xfId="5" applyNumberFormat="1" applyFont="1" applyAlignment="1">
      <alignment horizontal="center" vertical="center"/>
    </xf>
    <xf numFmtId="0" fontId="12" fillId="0" borderId="4" xfId="5" applyFont="1" applyAlignment="1">
      <alignment horizontal="left" vertical="center"/>
    </xf>
    <xf numFmtId="165" fontId="12" fillId="0" borderId="4" xfId="1" applyNumberFormat="1" applyFont="1" applyBorder="1" applyAlignment="1">
      <alignment horizontal="left" vertical="center"/>
    </xf>
    <xf numFmtId="0" fontId="13" fillId="0" borderId="0" xfId="0" applyFont="1"/>
    <xf numFmtId="165" fontId="12" fillId="0" borderId="4" xfId="5" applyNumberFormat="1" applyFont="1" applyAlignment="1">
      <alignment vertical="center"/>
    </xf>
    <xf numFmtId="0" fontId="12" fillId="0" borderId="4" xfId="5" applyNumberFormat="1" applyFont="1" applyAlignment="1">
      <alignment vertical="center"/>
    </xf>
    <xf numFmtId="164" fontId="14" fillId="0" borderId="0" xfId="1" applyFont="1" applyBorder="1" applyAlignment="1">
      <alignment horizontal="center" vertical="center"/>
    </xf>
    <xf numFmtId="167" fontId="13" fillId="0" borderId="0" xfId="1" applyNumberFormat="1" applyFont="1" applyBorder="1" applyAlignment="1">
      <alignment horizontal="right" vertical="center"/>
    </xf>
    <xf numFmtId="167" fontId="14" fillId="0" borderId="0" xfId="1" applyNumberFormat="1" applyFont="1" applyBorder="1" applyAlignment="1">
      <alignment horizontal="right" vertical="center"/>
    </xf>
    <xf numFmtId="167" fontId="12" fillId="0" borderId="4" xfId="5" applyNumberFormat="1" applyFont="1" applyAlignment="1">
      <alignment horizontal="right" vertical="center"/>
    </xf>
    <xf numFmtId="167" fontId="12" fillId="0" borderId="4" xfId="1" applyNumberFormat="1" applyFont="1" applyBorder="1" applyAlignment="1">
      <alignment horizontal="right" vertical="center"/>
    </xf>
    <xf numFmtId="9" fontId="13" fillId="0" borderId="0" xfId="0" applyNumberFormat="1" applyFont="1" applyAlignment="1">
      <alignment horizontal="center" vertical="center"/>
    </xf>
    <xf numFmtId="9" fontId="13" fillId="0" borderId="0" xfId="2" applyFont="1" applyBorder="1" applyAlignment="1">
      <alignment horizontal="right" vertical="center"/>
    </xf>
    <xf numFmtId="10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17" fontId="14" fillId="0" borderId="0" xfId="0" applyNumberFormat="1" applyFont="1" applyAlignment="1">
      <alignment horizontal="center" vertical="center"/>
    </xf>
    <xf numFmtId="0" fontId="14" fillId="0" borderId="0" xfId="2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5" fontId="13" fillId="0" borderId="0" xfId="1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164" fontId="13" fillId="0" borderId="0" xfId="1" applyFont="1" applyAlignment="1">
      <alignment horizontal="center" vertical="center"/>
    </xf>
    <xf numFmtId="0" fontId="13" fillId="0" borderId="0" xfId="1" applyNumberFormat="1" applyFont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49" fontId="13" fillId="0" borderId="0" xfId="1" applyNumberFormat="1" applyFont="1" applyAlignment="1">
      <alignment horizontal="right" vertical="center"/>
    </xf>
    <xf numFmtId="49" fontId="13" fillId="0" borderId="0" xfId="1" applyNumberFormat="1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0" fontId="13" fillId="0" borderId="0" xfId="1" applyNumberFormat="1" applyFont="1" applyAlignment="1">
      <alignment horizontal="center" vertical="center"/>
    </xf>
    <xf numFmtId="9" fontId="13" fillId="0" borderId="0" xfId="2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9" fontId="13" fillId="0" borderId="0" xfId="2" applyFont="1" applyAlignment="1">
      <alignment horizontal="left" vertical="center"/>
    </xf>
    <xf numFmtId="165" fontId="13" fillId="0" borderId="0" xfId="1" applyNumberFormat="1" applyFont="1" applyAlignment="1">
      <alignment horizontal="right" vertical="center" indent="1"/>
    </xf>
    <xf numFmtId="165" fontId="13" fillId="0" borderId="0" xfId="0" applyNumberFormat="1" applyFont="1" applyAlignment="1">
      <alignment horizontal="right" vertical="center" indent="1"/>
    </xf>
    <xf numFmtId="2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 vertical="top" wrapText="1"/>
    </xf>
    <xf numFmtId="168" fontId="13" fillId="0" borderId="0" xfId="0" applyNumberFormat="1" applyFont="1" applyAlignment="1">
      <alignment horizontal="center" vertical="center"/>
    </xf>
    <xf numFmtId="1" fontId="13" fillId="0" borderId="0" xfId="1" applyNumberFormat="1" applyFont="1" applyAlignment="1">
      <alignment horizontal="right" vertical="center"/>
    </xf>
    <xf numFmtId="0" fontId="14" fillId="0" borderId="0" xfId="0" applyFont="1" applyAlignment="1">
      <alignment horizontal="center" wrapText="1"/>
    </xf>
    <xf numFmtId="167" fontId="13" fillId="0" borderId="0" xfId="1" applyNumberFormat="1" applyFont="1" applyAlignment="1">
      <alignment horizontal="center" vertical="center"/>
    </xf>
    <xf numFmtId="166" fontId="17" fillId="0" borderId="0" xfId="2" applyNumberFormat="1" applyFont="1" applyBorder="1" applyAlignment="1">
      <alignment horizontal="right" vertical="center"/>
    </xf>
    <xf numFmtId="165" fontId="13" fillId="3" borderId="0" xfId="1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9" fontId="13" fillId="0" borderId="0" xfId="2" applyFont="1" applyBorder="1" applyAlignment="1">
      <alignment horizontal="center" vertical="center"/>
    </xf>
    <xf numFmtId="9" fontId="12" fillId="0" borderId="4" xfId="2" applyFont="1" applyBorder="1" applyAlignment="1">
      <alignment horizontal="right" vertical="center"/>
    </xf>
    <xf numFmtId="9" fontId="14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</cellXfs>
  <cellStyles count="7">
    <cellStyle name="Comma" xfId="1" builtinId="3"/>
    <cellStyle name="Comma 2" xfId="6" xr:uid="{57EE9361-1A1B-4030-AADF-5D7FF2081522}"/>
    <cellStyle name="Heading 1" xfId="3" builtinId="16"/>
    <cellStyle name="Heading 2" xfId="4" builtinId="17"/>
    <cellStyle name="Heading 3" xfId="5" builtinId="1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776A-99A3-4D92-94A7-7180A9FC14DC}">
  <dimension ref="B1:AF111"/>
  <sheetViews>
    <sheetView topLeftCell="A3" zoomScaleNormal="100" zoomScaleSheetLayoutView="93" workbookViewId="0">
      <pane xSplit="2" ySplit="2" topLeftCell="I13" activePane="bottomRight" state="frozen"/>
      <selection activeCell="H88" sqref="H88"/>
      <selection pane="topRight" activeCell="H88" sqref="H88"/>
      <selection pane="bottomLeft" activeCell="H88" sqref="H88"/>
      <selection pane="bottomRight" activeCell="P13" sqref="P13"/>
    </sheetView>
  </sheetViews>
  <sheetFormatPr defaultColWidth="9.1796875" defaultRowHeight="16" x14ac:dyDescent="0.35"/>
  <cols>
    <col min="1" max="1" width="1" style="40" customWidth="1"/>
    <col min="2" max="2" width="32.1796875" style="68" customWidth="1"/>
    <col min="3" max="3" width="7.90625" style="40" bestFit="1" customWidth="1"/>
    <col min="4" max="4" width="14.453125" style="40" bestFit="1" customWidth="1"/>
    <col min="5" max="5" width="14.08984375" style="40" bestFit="1" customWidth="1"/>
    <col min="6" max="6" width="14.81640625" style="40" bestFit="1" customWidth="1"/>
    <col min="7" max="7" width="14.08984375" style="40" bestFit="1" customWidth="1"/>
    <col min="8" max="8" width="16.90625" style="40" customWidth="1"/>
    <col min="9" max="9" width="15.36328125" style="40" customWidth="1"/>
    <col min="10" max="10" width="14.08984375" style="40" bestFit="1" customWidth="1"/>
    <col min="11" max="11" width="17.81640625" style="40" customWidth="1"/>
    <col min="12" max="15" width="14.81640625" style="40" bestFit="1" customWidth="1"/>
    <col min="16" max="16" width="16.36328125" style="40" customWidth="1"/>
    <col min="17" max="17" width="3.54296875" style="40" bestFit="1" customWidth="1"/>
    <col min="18" max="18" width="20.453125" style="40" bestFit="1" customWidth="1"/>
    <col min="19" max="19" width="13.453125" style="40" customWidth="1"/>
    <col min="20" max="20" width="15.453125" style="40" customWidth="1"/>
    <col min="21" max="21" width="16" style="40" customWidth="1"/>
    <col min="22" max="22" width="14.08984375" style="40" customWidth="1"/>
    <col min="23" max="25" width="9.1796875" style="40"/>
    <col min="26" max="26" width="15.54296875" style="40" customWidth="1"/>
    <col min="27" max="16384" width="9.1796875" style="40"/>
  </cols>
  <sheetData>
    <row r="1" spans="2:16" ht="12" customHeight="1" x14ac:dyDescent="0.35">
      <c r="B1" s="44" t="s">
        <v>53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2:16" ht="12" customHeight="1" x14ac:dyDescent="0.35"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2:16" s="44" customFormat="1" x14ac:dyDescent="0.35">
      <c r="B3" s="69"/>
      <c r="D3" s="71" t="s">
        <v>77</v>
      </c>
      <c r="E3" s="71" t="s">
        <v>78</v>
      </c>
      <c r="F3" s="71" t="s">
        <v>79</v>
      </c>
      <c r="G3" s="71" t="s">
        <v>80</v>
      </c>
      <c r="H3" s="71" t="s">
        <v>0</v>
      </c>
      <c r="I3" s="71" t="s">
        <v>81</v>
      </c>
      <c r="J3" s="71" t="s">
        <v>82</v>
      </c>
      <c r="K3" s="71" t="s">
        <v>83</v>
      </c>
      <c r="L3" s="71" t="s">
        <v>84</v>
      </c>
      <c r="M3" s="71" t="s">
        <v>85</v>
      </c>
      <c r="N3" s="71" t="s">
        <v>86</v>
      </c>
      <c r="O3" s="71" t="s">
        <v>87</v>
      </c>
      <c r="P3" s="44" t="s">
        <v>76</v>
      </c>
    </row>
    <row r="4" spans="2:16" s="44" customFormat="1" x14ac:dyDescent="0.35">
      <c r="B4" s="70" t="s">
        <v>7</v>
      </c>
      <c r="C4" s="68"/>
      <c r="D4" s="71"/>
      <c r="E4" s="72"/>
      <c r="F4" s="71"/>
      <c r="G4" s="71"/>
      <c r="H4" s="71"/>
      <c r="I4" s="71"/>
      <c r="J4" s="71"/>
      <c r="K4" s="71"/>
      <c r="L4" s="71"/>
      <c r="M4" s="71"/>
      <c r="N4" s="71"/>
      <c r="O4" s="71"/>
    </row>
    <row r="5" spans="2:16" s="44" customFormat="1" hidden="1" x14ac:dyDescent="0.35">
      <c r="B5" s="44" t="s">
        <v>55</v>
      </c>
      <c r="D5" s="73">
        <f>SUM(D6:D11)</f>
        <v>0</v>
      </c>
      <c r="E5" s="73">
        <f t="shared" ref="E5:O5" si="0">SUM(E6:E11)</f>
        <v>0</v>
      </c>
      <c r="F5" s="73">
        <f t="shared" si="0"/>
        <v>0</v>
      </c>
      <c r="G5" s="73">
        <f t="shared" si="0"/>
        <v>0</v>
      </c>
      <c r="H5" s="73">
        <f t="shared" si="0"/>
        <v>0</v>
      </c>
      <c r="I5" s="73">
        <f t="shared" si="0"/>
        <v>0</v>
      </c>
      <c r="J5" s="73">
        <f t="shared" si="0"/>
        <v>0</v>
      </c>
      <c r="K5" s="73">
        <f t="shared" si="0"/>
        <v>0</v>
      </c>
      <c r="L5" s="73">
        <f t="shared" si="0"/>
        <v>0</v>
      </c>
      <c r="M5" s="73">
        <f t="shared" si="0"/>
        <v>0</v>
      </c>
      <c r="N5" s="73">
        <f t="shared" si="0"/>
        <v>0</v>
      </c>
      <c r="O5" s="73">
        <f t="shared" si="0"/>
        <v>0</v>
      </c>
      <c r="P5" s="73">
        <f>SUM(D5:O5)</f>
        <v>0</v>
      </c>
    </row>
    <row r="6" spans="2:16" ht="34.25" hidden="1" customHeight="1" x14ac:dyDescent="0.35">
      <c r="B6" s="96" t="s">
        <v>56</v>
      </c>
      <c r="D6" s="75">
        <f>D26*D46</f>
        <v>0</v>
      </c>
      <c r="E6" s="75">
        <f t="shared" ref="E6:O6" si="1">E46*E26</f>
        <v>0</v>
      </c>
      <c r="F6" s="75">
        <f t="shared" si="1"/>
        <v>0</v>
      </c>
      <c r="G6" s="75">
        <f t="shared" si="1"/>
        <v>0</v>
      </c>
      <c r="H6" s="75">
        <f t="shared" si="1"/>
        <v>0</v>
      </c>
      <c r="I6" s="75">
        <f t="shared" si="1"/>
        <v>0</v>
      </c>
      <c r="J6" s="75">
        <f t="shared" si="1"/>
        <v>0</v>
      </c>
      <c r="K6" s="75">
        <f t="shared" si="1"/>
        <v>0</v>
      </c>
      <c r="L6" s="75">
        <f t="shared" si="1"/>
        <v>0</v>
      </c>
      <c r="M6" s="75">
        <f t="shared" si="1"/>
        <v>0</v>
      </c>
      <c r="N6" s="75">
        <f t="shared" si="1"/>
        <v>0</v>
      </c>
      <c r="O6" s="75">
        <f t="shared" si="1"/>
        <v>0</v>
      </c>
      <c r="P6" s="39">
        <f>SUM(D6:O6)</f>
        <v>0</v>
      </c>
    </row>
    <row r="7" spans="2:16" ht="32" hidden="1" x14ac:dyDescent="0.4">
      <c r="B7" s="95" t="s">
        <v>57</v>
      </c>
      <c r="D7" s="75">
        <f>D27*D47</f>
        <v>0</v>
      </c>
      <c r="E7" s="75">
        <f t="shared" ref="E7:O7" si="2">E47*E27</f>
        <v>0</v>
      </c>
      <c r="F7" s="75">
        <f t="shared" si="2"/>
        <v>0</v>
      </c>
      <c r="G7" s="75">
        <f t="shared" si="2"/>
        <v>0</v>
      </c>
      <c r="H7" s="75">
        <f t="shared" si="2"/>
        <v>0</v>
      </c>
      <c r="I7" s="75">
        <f t="shared" si="2"/>
        <v>0</v>
      </c>
      <c r="J7" s="75">
        <f t="shared" si="2"/>
        <v>0</v>
      </c>
      <c r="K7" s="75">
        <f t="shared" si="2"/>
        <v>0</v>
      </c>
      <c r="L7" s="75">
        <f t="shared" si="2"/>
        <v>0</v>
      </c>
      <c r="M7" s="75">
        <f t="shared" si="2"/>
        <v>0</v>
      </c>
      <c r="N7" s="75">
        <f t="shared" si="2"/>
        <v>0</v>
      </c>
      <c r="O7" s="75">
        <f t="shared" si="2"/>
        <v>0</v>
      </c>
      <c r="P7" s="39">
        <f>SUM(D7:O7)</f>
        <v>0</v>
      </c>
    </row>
    <row r="8" spans="2:16" ht="32" hidden="1" x14ac:dyDescent="0.35">
      <c r="B8" s="96" t="s">
        <v>60</v>
      </c>
      <c r="D8" s="75">
        <f>D28*D48</f>
        <v>0</v>
      </c>
      <c r="E8" s="75">
        <f t="shared" ref="E8:O8" si="3">E48*E28</f>
        <v>0</v>
      </c>
      <c r="F8" s="75">
        <f t="shared" si="3"/>
        <v>0</v>
      </c>
      <c r="G8" s="75">
        <f t="shared" si="3"/>
        <v>0</v>
      </c>
      <c r="H8" s="75">
        <f t="shared" si="3"/>
        <v>0</v>
      </c>
      <c r="I8" s="75">
        <f t="shared" si="3"/>
        <v>0</v>
      </c>
      <c r="J8" s="75">
        <f t="shared" si="3"/>
        <v>0</v>
      </c>
      <c r="K8" s="75">
        <f t="shared" si="3"/>
        <v>0</v>
      </c>
      <c r="L8" s="75">
        <f t="shared" si="3"/>
        <v>0</v>
      </c>
      <c r="M8" s="75">
        <f t="shared" si="3"/>
        <v>0</v>
      </c>
      <c r="N8" s="75">
        <f t="shared" si="3"/>
        <v>0</v>
      </c>
      <c r="O8" s="75">
        <f t="shared" si="3"/>
        <v>0</v>
      </c>
      <c r="P8" s="39">
        <f>SUM(D8:O8)</f>
        <v>0</v>
      </c>
    </row>
    <row r="9" spans="2:16" ht="32" hidden="1" x14ac:dyDescent="0.4">
      <c r="B9" s="95" t="s">
        <v>61</v>
      </c>
      <c r="D9" s="75">
        <f>D29*D49</f>
        <v>0</v>
      </c>
      <c r="E9" s="75">
        <f t="shared" ref="E9:O9" si="4">E29*E49</f>
        <v>0</v>
      </c>
      <c r="F9" s="75">
        <f t="shared" si="4"/>
        <v>0</v>
      </c>
      <c r="G9" s="75">
        <f t="shared" si="4"/>
        <v>0</v>
      </c>
      <c r="H9" s="75">
        <f t="shared" si="4"/>
        <v>0</v>
      </c>
      <c r="I9" s="75">
        <f t="shared" si="4"/>
        <v>0</v>
      </c>
      <c r="J9" s="75">
        <f t="shared" si="4"/>
        <v>0</v>
      </c>
      <c r="K9" s="75">
        <f t="shared" si="4"/>
        <v>0</v>
      </c>
      <c r="L9" s="75">
        <f t="shared" si="4"/>
        <v>0</v>
      </c>
      <c r="M9" s="75">
        <f t="shared" si="4"/>
        <v>0</v>
      </c>
      <c r="N9" s="75">
        <f t="shared" si="4"/>
        <v>0</v>
      </c>
      <c r="O9" s="75">
        <f t="shared" si="4"/>
        <v>0</v>
      </c>
      <c r="P9" s="39">
        <f>SUM(D9:O9)</f>
        <v>0</v>
      </c>
    </row>
    <row r="10" spans="2:16" s="44" customFormat="1" hidden="1" x14ac:dyDescent="0.35">
      <c r="B10" s="68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3"/>
    </row>
    <row r="11" spans="2:16" s="44" customFormat="1" hidden="1" x14ac:dyDescent="0.35"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3"/>
    </row>
    <row r="12" spans="2:16" x14ac:dyDescent="0.35">
      <c r="B12" s="78"/>
      <c r="D12" s="39"/>
      <c r="E12" s="39"/>
      <c r="F12" s="39"/>
      <c r="G12" s="39"/>
      <c r="H12" s="75"/>
      <c r="I12" s="39"/>
      <c r="J12" s="39"/>
      <c r="K12" s="39"/>
      <c r="L12" s="39"/>
      <c r="M12" s="39"/>
      <c r="N12" s="39"/>
      <c r="O12" s="39"/>
      <c r="P12" s="39"/>
    </row>
    <row r="13" spans="2:16" s="44" customFormat="1" x14ac:dyDescent="0.35">
      <c r="B13" s="79" t="s">
        <v>112</v>
      </c>
      <c r="D13" s="73">
        <f t="shared" ref="D13:P13" si="5">SUM(D14:D21)</f>
        <v>36000000</v>
      </c>
      <c r="E13" s="73">
        <f t="shared" si="5"/>
        <v>36000000</v>
      </c>
      <c r="F13" s="73">
        <f t="shared" si="5"/>
        <v>248000000</v>
      </c>
      <c r="G13" s="73">
        <f t="shared" si="5"/>
        <v>36000000</v>
      </c>
      <c r="H13" s="73">
        <f t="shared" si="5"/>
        <v>36000000</v>
      </c>
      <c r="I13" s="73">
        <f t="shared" si="5"/>
        <v>248000000</v>
      </c>
      <c r="J13" s="73">
        <f t="shared" si="5"/>
        <v>36000000</v>
      </c>
      <c r="K13" s="73">
        <f t="shared" si="5"/>
        <v>36000000</v>
      </c>
      <c r="L13" s="73">
        <f t="shared" si="5"/>
        <v>248000000</v>
      </c>
      <c r="M13" s="73">
        <f t="shared" si="5"/>
        <v>36000000</v>
      </c>
      <c r="N13" s="73">
        <f t="shared" si="5"/>
        <v>36000000</v>
      </c>
      <c r="O13" s="73">
        <f t="shared" si="5"/>
        <v>248000000</v>
      </c>
      <c r="P13" s="73">
        <f t="shared" si="5"/>
        <v>1280000000</v>
      </c>
    </row>
    <row r="14" spans="2:16" x14ac:dyDescent="0.4">
      <c r="B14" s="95" t="s">
        <v>105</v>
      </c>
      <c r="C14" s="80"/>
      <c r="D14" s="75">
        <f t="shared" ref="D14:O14" si="6">D34*D54</f>
        <v>12000000</v>
      </c>
      <c r="E14" s="75">
        <f t="shared" si="6"/>
        <v>12000000</v>
      </c>
      <c r="F14" s="75">
        <f t="shared" si="6"/>
        <v>12000000</v>
      </c>
      <c r="G14" s="75">
        <f t="shared" si="6"/>
        <v>12000000</v>
      </c>
      <c r="H14" s="75">
        <f t="shared" si="6"/>
        <v>12000000</v>
      </c>
      <c r="I14" s="75">
        <f t="shared" si="6"/>
        <v>12000000</v>
      </c>
      <c r="J14" s="75">
        <f t="shared" si="6"/>
        <v>12000000</v>
      </c>
      <c r="K14" s="75">
        <f t="shared" si="6"/>
        <v>12000000</v>
      </c>
      <c r="L14" s="75">
        <f t="shared" si="6"/>
        <v>12000000</v>
      </c>
      <c r="M14" s="75">
        <f t="shared" si="6"/>
        <v>12000000</v>
      </c>
      <c r="N14" s="75">
        <f t="shared" si="6"/>
        <v>12000000</v>
      </c>
      <c r="O14" s="75">
        <f t="shared" si="6"/>
        <v>12000000</v>
      </c>
      <c r="P14" s="73">
        <f t="shared" ref="P14:P20" si="7">SUM(D14:O14)</f>
        <v>144000000</v>
      </c>
    </row>
    <row r="15" spans="2:16" ht="32" x14ac:dyDescent="0.4">
      <c r="B15" s="95" t="s">
        <v>106</v>
      </c>
      <c r="C15" s="80"/>
      <c r="D15" s="75">
        <f t="shared" ref="D15:O15" si="8">D35*D55</f>
        <v>0</v>
      </c>
      <c r="E15" s="75">
        <f t="shared" si="8"/>
        <v>0</v>
      </c>
      <c r="F15" s="75">
        <f t="shared" si="8"/>
        <v>50000000</v>
      </c>
      <c r="G15" s="75">
        <f t="shared" si="8"/>
        <v>0</v>
      </c>
      <c r="H15" s="75">
        <f t="shared" si="8"/>
        <v>0</v>
      </c>
      <c r="I15" s="75">
        <f t="shared" si="8"/>
        <v>50000000</v>
      </c>
      <c r="J15" s="75">
        <f t="shared" si="8"/>
        <v>0</v>
      </c>
      <c r="K15" s="75">
        <f t="shared" si="8"/>
        <v>0</v>
      </c>
      <c r="L15" s="75">
        <f t="shared" si="8"/>
        <v>50000000</v>
      </c>
      <c r="M15" s="75">
        <f t="shared" si="8"/>
        <v>0</v>
      </c>
      <c r="N15" s="75">
        <f t="shared" si="8"/>
        <v>0</v>
      </c>
      <c r="O15" s="75">
        <f t="shared" si="8"/>
        <v>50000000</v>
      </c>
      <c r="P15" s="73">
        <f t="shared" si="7"/>
        <v>200000000</v>
      </c>
    </row>
    <row r="16" spans="2:16" x14ac:dyDescent="0.4">
      <c r="B16" s="95" t="s">
        <v>107</v>
      </c>
      <c r="C16" s="80"/>
      <c r="D16" s="75">
        <f t="shared" ref="D16:O16" si="9">D36*D56</f>
        <v>24000000</v>
      </c>
      <c r="E16" s="75">
        <f t="shared" si="9"/>
        <v>24000000</v>
      </c>
      <c r="F16" s="75">
        <f t="shared" si="9"/>
        <v>24000000</v>
      </c>
      <c r="G16" s="75">
        <f t="shared" si="9"/>
        <v>24000000</v>
      </c>
      <c r="H16" s="75">
        <f t="shared" si="9"/>
        <v>24000000</v>
      </c>
      <c r="I16" s="75">
        <f t="shared" si="9"/>
        <v>24000000</v>
      </c>
      <c r="J16" s="75">
        <f t="shared" si="9"/>
        <v>24000000</v>
      </c>
      <c r="K16" s="75">
        <f t="shared" si="9"/>
        <v>24000000</v>
      </c>
      <c r="L16" s="75">
        <f t="shared" si="9"/>
        <v>24000000</v>
      </c>
      <c r="M16" s="75">
        <f t="shared" si="9"/>
        <v>24000000</v>
      </c>
      <c r="N16" s="75">
        <f t="shared" si="9"/>
        <v>24000000</v>
      </c>
      <c r="O16" s="75">
        <f t="shared" si="9"/>
        <v>24000000</v>
      </c>
      <c r="P16" s="73">
        <f t="shared" si="7"/>
        <v>288000000</v>
      </c>
    </row>
    <row r="17" spans="2:30" ht="32" x14ac:dyDescent="0.4">
      <c r="B17" s="95" t="s">
        <v>108</v>
      </c>
      <c r="C17" s="80"/>
      <c r="D17" s="75">
        <f>D37*D57</f>
        <v>0</v>
      </c>
      <c r="E17" s="75">
        <f t="shared" ref="E17:O17" si="10">E37*E57</f>
        <v>0</v>
      </c>
      <c r="F17" s="75">
        <f t="shared" si="10"/>
        <v>27000000</v>
      </c>
      <c r="G17" s="75">
        <f t="shared" si="10"/>
        <v>0</v>
      </c>
      <c r="H17" s="75">
        <f t="shared" si="10"/>
        <v>0</v>
      </c>
      <c r="I17" s="75">
        <f t="shared" si="10"/>
        <v>27000000</v>
      </c>
      <c r="J17" s="75">
        <f t="shared" si="10"/>
        <v>0</v>
      </c>
      <c r="K17" s="75">
        <f t="shared" si="10"/>
        <v>0</v>
      </c>
      <c r="L17" s="75">
        <f t="shared" si="10"/>
        <v>27000000</v>
      </c>
      <c r="M17" s="75">
        <f t="shared" si="10"/>
        <v>0</v>
      </c>
      <c r="N17" s="75">
        <f t="shared" si="10"/>
        <v>0</v>
      </c>
      <c r="O17" s="75">
        <f t="shared" si="10"/>
        <v>27000000</v>
      </c>
      <c r="P17" s="73">
        <f t="shared" si="7"/>
        <v>108000000</v>
      </c>
    </row>
    <row r="18" spans="2:30" x14ac:dyDescent="0.4">
      <c r="B18" s="95" t="s">
        <v>109</v>
      </c>
      <c r="C18" s="80"/>
      <c r="D18" s="75">
        <f t="shared" ref="D18:O18" si="11">D38*D57</f>
        <v>0</v>
      </c>
      <c r="E18" s="75">
        <f t="shared" si="11"/>
        <v>0</v>
      </c>
      <c r="F18" s="75">
        <f t="shared" si="11"/>
        <v>135000000</v>
      </c>
      <c r="G18" s="75">
        <f t="shared" si="11"/>
        <v>0</v>
      </c>
      <c r="H18" s="75">
        <f t="shared" si="11"/>
        <v>0</v>
      </c>
      <c r="I18" s="75">
        <f t="shared" si="11"/>
        <v>135000000</v>
      </c>
      <c r="J18" s="75">
        <f t="shared" si="11"/>
        <v>0</v>
      </c>
      <c r="K18" s="75">
        <f t="shared" si="11"/>
        <v>0</v>
      </c>
      <c r="L18" s="75">
        <f t="shared" si="11"/>
        <v>135000000</v>
      </c>
      <c r="M18" s="75">
        <f t="shared" si="11"/>
        <v>0</v>
      </c>
      <c r="N18" s="75">
        <f t="shared" si="11"/>
        <v>0</v>
      </c>
      <c r="O18" s="75">
        <f t="shared" si="11"/>
        <v>135000000</v>
      </c>
      <c r="P18" s="73">
        <f t="shared" si="7"/>
        <v>540000000</v>
      </c>
    </row>
    <row r="19" spans="2:30" ht="32" x14ac:dyDescent="0.4">
      <c r="B19" s="95" t="s">
        <v>110</v>
      </c>
      <c r="C19" s="80"/>
      <c r="D19" s="75">
        <f>D39*D58*0</f>
        <v>0</v>
      </c>
      <c r="E19" s="75">
        <f t="shared" ref="E19:O19" si="12">E39*E58*0</f>
        <v>0</v>
      </c>
      <c r="F19" s="75">
        <f t="shared" si="12"/>
        <v>0</v>
      </c>
      <c r="G19" s="75">
        <f t="shared" si="12"/>
        <v>0</v>
      </c>
      <c r="H19" s="75">
        <f t="shared" si="12"/>
        <v>0</v>
      </c>
      <c r="I19" s="75">
        <f t="shared" si="12"/>
        <v>0</v>
      </c>
      <c r="J19" s="75">
        <f t="shared" si="12"/>
        <v>0</v>
      </c>
      <c r="K19" s="75">
        <f t="shared" si="12"/>
        <v>0</v>
      </c>
      <c r="L19" s="75">
        <f t="shared" si="12"/>
        <v>0</v>
      </c>
      <c r="M19" s="75">
        <f t="shared" si="12"/>
        <v>0</v>
      </c>
      <c r="N19" s="75">
        <f t="shared" si="12"/>
        <v>0</v>
      </c>
      <c r="O19" s="75">
        <f t="shared" si="12"/>
        <v>0</v>
      </c>
      <c r="P19" s="73">
        <f t="shared" si="7"/>
        <v>0</v>
      </c>
    </row>
    <row r="20" spans="2:30" x14ac:dyDescent="0.4">
      <c r="B20" s="95" t="s">
        <v>111</v>
      </c>
      <c r="D20" s="75">
        <f>D40*D59*0</f>
        <v>0</v>
      </c>
      <c r="E20" s="75">
        <f t="shared" ref="E20:O20" si="13">E40*E59*0</f>
        <v>0</v>
      </c>
      <c r="F20" s="75">
        <f t="shared" si="13"/>
        <v>0</v>
      </c>
      <c r="G20" s="75">
        <f t="shared" si="13"/>
        <v>0</v>
      </c>
      <c r="H20" s="75">
        <f t="shared" si="13"/>
        <v>0</v>
      </c>
      <c r="I20" s="75">
        <f t="shared" si="13"/>
        <v>0</v>
      </c>
      <c r="J20" s="75">
        <f t="shared" si="13"/>
        <v>0</v>
      </c>
      <c r="K20" s="75">
        <f t="shared" si="13"/>
        <v>0</v>
      </c>
      <c r="L20" s="75">
        <f t="shared" si="13"/>
        <v>0</v>
      </c>
      <c r="M20" s="75">
        <f t="shared" si="13"/>
        <v>0</v>
      </c>
      <c r="N20" s="75">
        <f t="shared" si="13"/>
        <v>0</v>
      </c>
      <c r="O20" s="75">
        <f t="shared" si="13"/>
        <v>0</v>
      </c>
      <c r="P20" s="73">
        <f t="shared" si="7"/>
        <v>0</v>
      </c>
    </row>
    <row r="21" spans="2:30" x14ac:dyDescent="0.4">
      <c r="B21" s="9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3"/>
    </row>
    <row r="22" spans="2:30" x14ac:dyDescent="0.35">
      <c r="B22" s="77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</row>
    <row r="23" spans="2:30" x14ac:dyDescent="0.35"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</row>
    <row r="24" spans="2:30" hidden="1" x14ac:dyDescent="0.35">
      <c r="B24" s="70" t="s">
        <v>8</v>
      </c>
      <c r="D24" s="76"/>
      <c r="H24" s="81"/>
    </row>
    <row r="25" spans="2:30" hidden="1" x14ac:dyDescent="0.35">
      <c r="B25" s="44" t="s">
        <v>55</v>
      </c>
      <c r="D25" s="76"/>
      <c r="H25" s="81"/>
    </row>
    <row r="26" spans="2:30" ht="34.25" hidden="1" customHeight="1" x14ac:dyDescent="0.35">
      <c r="B26" s="96" t="s">
        <v>56</v>
      </c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3">
        <f>SUM(D26:O26)</f>
        <v>0</v>
      </c>
      <c r="R26" s="82">
        <v>30</v>
      </c>
      <c r="S26" s="82">
        <v>31</v>
      </c>
      <c r="T26" s="82">
        <v>32</v>
      </c>
      <c r="U26" s="82"/>
      <c r="V26" s="82">
        <v>33</v>
      </c>
      <c r="W26" s="82">
        <v>34</v>
      </c>
      <c r="X26" s="82">
        <v>35</v>
      </c>
      <c r="Y26" s="82">
        <v>36</v>
      </c>
      <c r="Z26" s="82">
        <v>37</v>
      </c>
      <c r="AA26" s="82">
        <v>38</v>
      </c>
      <c r="AB26" s="82">
        <v>39</v>
      </c>
      <c r="AC26" s="82">
        <v>40</v>
      </c>
      <c r="AD26" s="82">
        <v>41</v>
      </c>
    </row>
    <row r="27" spans="2:30" ht="32" hidden="1" x14ac:dyDescent="0.35">
      <c r="B27" s="96" t="s">
        <v>57</v>
      </c>
      <c r="D27" s="82"/>
      <c r="E27" s="84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3">
        <f>SUM(D27:O27)</f>
        <v>0</v>
      </c>
      <c r="R27" s="82">
        <v>30</v>
      </c>
      <c r="S27" s="84">
        <v>30</v>
      </c>
      <c r="T27" s="82">
        <v>30</v>
      </c>
      <c r="U27" s="82"/>
      <c r="V27" s="82">
        <v>30</v>
      </c>
      <c r="W27" s="82">
        <v>30</v>
      </c>
      <c r="X27" s="82">
        <v>30</v>
      </c>
      <c r="Y27" s="82">
        <v>30</v>
      </c>
      <c r="Z27" s="82">
        <v>30</v>
      </c>
      <c r="AA27" s="82">
        <v>30</v>
      </c>
      <c r="AB27" s="82">
        <v>30</v>
      </c>
      <c r="AC27" s="82">
        <v>30</v>
      </c>
      <c r="AD27" s="82">
        <v>30</v>
      </c>
    </row>
    <row r="28" spans="2:30" ht="32" hidden="1" x14ac:dyDescent="0.35">
      <c r="B28" s="96" t="s">
        <v>60</v>
      </c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3">
        <f>SUM(D28:O28)</f>
        <v>0</v>
      </c>
      <c r="R28" s="82">
        <v>30</v>
      </c>
      <c r="S28" s="82">
        <v>30</v>
      </c>
      <c r="T28" s="82">
        <v>30</v>
      </c>
      <c r="U28" s="82"/>
      <c r="V28" s="82">
        <v>30</v>
      </c>
      <c r="W28" s="82">
        <v>30</v>
      </c>
      <c r="X28" s="82">
        <v>30</v>
      </c>
      <c r="Y28" s="82">
        <v>30</v>
      </c>
      <c r="Z28" s="82">
        <v>30</v>
      </c>
      <c r="AA28" s="82">
        <v>30</v>
      </c>
      <c r="AB28" s="82">
        <v>30</v>
      </c>
      <c r="AC28" s="82">
        <v>30</v>
      </c>
      <c r="AD28" s="82">
        <v>30</v>
      </c>
    </row>
    <row r="29" spans="2:30" ht="32" hidden="1" x14ac:dyDescent="0.35">
      <c r="B29" s="96" t="s">
        <v>61</v>
      </c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3">
        <f>SUM(D29:O29)</f>
        <v>0</v>
      </c>
      <c r="R29" s="82">
        <v>20</v>
      </c>
      <c r="S29" s="82">
        <v>20</v>
      </c>
      <c r="T29" s="82">
        <v>20</v>
      </c>
      <c r="U29" s="82"/>
      <c r="V29" s="82">
        <v>20</v>
      </c>
      <c r="W29" s="82">
        <v>20</v>
      </c>
      <c r="X29" s="82">
        <v>20</v>
      </c>
      <c r="Y29" s="82">
        <v>20</v>
      </c>
      <c r="Z29" s="82">
        <v>20</v>
      </c>
      <c r="AA29" s="82">
        <v>20</v>
      </c>
      <c r="AB29" s="82">
        <v>20</v>
      </c>
      <c r="AC29" s="82">
        <v>20</v>
      </c>
      <c r="AD29" s="82">
        <v>20</v>
      </c>
    </row>
    <row r="30" spans="2:30" s="44" customFormat="1" x14ac:dyDescent="0.35">
      <c r="B30" s="68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</row>
    <row r="31" spans="2:30" s="44" customFormat="1" x14ac:dyDescent="0.35"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</row>
    <row r="32" spans="2:30" x14ac:dyDescent="0.35">
      <c r="B32" s="78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</row>
    <row r="33" spans="2:32" x14ac:dyDescent="0.35">
      <c r="B33" s="79" t="s">
        <v>113</v>
      </c>
      <c r="C33" s="77"/>
      <c r="D33" s="98"/>
      <c r="H33" s="81"/>
    </row>
    <row r="34" spans="2:32" x14ac:dyDescent="0.4">
      <c r="B34" s="95" t="s">
        <v>105</v>
      </c>
      <c r="C34" s="97"/>
      <c r="D34" s="98">
        <v>6</v>
      </c>
      <c r="E34" s="98">
        <f>D34</f>
        <v>6</v>
      </c>
      <c r="F34" s="98">
        <f t="shared" ref="F34:O36" si="14">E34</f>
        <v>6</v>
      </c>
      <c r="G34" s="98">
        <f t="shared" si="14"/>
        <v>6</v>
      </c>
      <c r="H34" s="98">
        <f t="shared" si="14"/>
        <v>6</v>
      </c>
      <c r="I34" s="98">
        <f t="shared" si="14"/>
        <v>6</v>
      </c>
      <c r="J34" s="98">
        <f t="shared" si="14"/>
        <v>6</v>
      </c>
      <c r="K34" s="98">
        <f t="shared" si="14"/>
        <v>6</v>
      </c>
      <c r="L34" s="98">
        <f t="shared" si="14"/>
        <v>6</v>
      </c>
      <c r="M34" s="98">
        <f t="shared" si="14"/>
        <v>6</v>
      </c>
      <c r="N34" s="98">
        <f t="shared" si="14"/>
        <v>6</v>
      </c>
      <c r="O34" s="98">
        <f t="shared" si="14"/>
        <v>6</v>
      </c>
      <c r="P34" s="73">
        <f t="shared" ref="P34:P40" si="15">SUM(D34:O34)</f>
        <v>72</v>
      </c>
      <c r="R34" s="88">
        <f>(P34-2358)/2358</f>
        <v>-0.96946564885496178</v>
      </c>
      <c r="S34" s="39">
        <f t="shared" ref="S34:S40" si="16">P34/1.3</f>
        <v>55.38461538461538</v>
      </c>
    </row>
    <row r="35" spans="2:32" ht="32" x14ac:dyDescent="0.4">
      <c r="B35" s="95" t="s">
        <v>106</v>
      </c>
      <c r="C35" s="97"/>
      <c r="D35" s="82"/>
      <c r="E35" s="98"/>
      <c r="F35" s="98">
        <v>1</v>
      </c>
      <c r="G35" s="98"/>
      <c r="H35" s="98"/>
      <c r="I35" s="98">
        <v>1</v>
      </c>
      <c r="J35" s="98"/>
      <c r="K35" s="98"/>
      <c r="L35" s="98">
        <v>1</v>
      </c>
      <c r="M35" s="98"/>
      <c r="N35" s="98"/>
      <c r="O35" s="98">
        <v>1</v>
      </c>
      <c r="P35" s="73">
        <f t="shared" si="15"/>
        <v>4</v>
      </c>
      <c r="R35" s="88">
        <f>(P35-1729)/1729</f>
        <v>-0.9976865240023135</v>
      </c>
      <c r="S35" s="39">
        <f t="shared" si="16"/>
        <v>3.0769230769230766</v>
      </c>
    </row>
    <row r="36" spans="2:32" x14ac:dyDescent="0.4">
      <c r="B36" s="95" t="s">
        <v>107</v>
      </c>
      <c r="C36" s="97"/>
      <c r="D36" s="98">
        <v>6</v>
      </c>
      <c r="E36" s="98">
        <f>D36</f>
        <v>6</v>
      </c>
      <c r="F36" s="98">
        <f t="shared" si="14"/>
        <v>6</v>
      </c>
      <c r="G36" s="98">
        <f t="shared" si="14"/>
        <v>6</v>
      </c>
      <c r="H36" s="98">
        <f t="shared" si="14"/>
        <v>6</v>
      </c>
      <c r="I36" s="98">
        <f t="shared" si="14"/>
        <v>6</v>
      </c>
      <c r="J36" s="98">
        <f t="shared" si="14"/>
        <v>6</v>
      </c>
      <c r="K36" s="98">
        <f t="shared" si="14"/>
        <v>6</v>
      </c>
      <c r="L36" s="98">
        <f t="shared" si="14"/>
        <v>6</v>
      </c>
      <c r="M36" s="98">
        <f t="shared" si="14"/>
        <v>6</v>
      </c>
      <c r="N36" s="98">
        <f t="shared" si="14"/>
        <v>6</v>
      </c>
      <c r="O36" s="98">
        <f t="shared" si="14"/>
        <v>6</v>
      </c>
      <c r="P36" s="73">
        <f t="shared" si="15"/>
        <v>72</v>
      </c>
      <c r="R36" s="88">
        <f>(P36-315)/315</f>
        <v>-0.77142857142857146</v>
      </c>
      <c r="S36" s="39">
        <f t="shared" si="16"/>
        <v>55.38461538461538</v>
      </c>
    </row>
    <row r="37" spans="2:32" ht="32" x14ac:dyDescent="0.4">
      <c r="B37" s="95" t="s">
        <v>108</v>
      </c>
      <c r="C37" s="97"/>
      <c r="D37" s="98"/>
      <c r="E37" s="98"/>
      <c r="F37" s="98">
        <v>1</v>
      </c>
      <c r="G37" s="98"/>
      <c r="H37" s="98"/>
      <c r="I37" s="98">
        <v>1</v>
      </c>
      <c r="J37" s="98"/>
      <c r="K37" s="98"/>
      <c r="L37" s="98">
        <v>1</v>
      </c>
      <c r="M37" s="98"/>
      <c r="N37" s="98"/>
      <c r="O37" s="98">
        <v>1</v>
      </c>
      <c r="P37" s="73">
        <f t="shared" si="15"/>
        <v>4</v>
      </c>
      <c r="R37" s="88"/>
      <c r="S37" s="39">
        <f t="shared" si="16"/>
        <v>3.0769230769230766</v>
      </c>
      <c r="T37" s="82">
        <v>50</v>
      </c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</row>
    <row r="38" spans="2:32" x14ac:dyDescent="0.4">
      <c r="B38" s="95" t="s">
        <v>109</v>
      </c>
      <c r="C38" s="97"/>
      <c r="D38" s="98">
        <v>5</v>
      </c>
      <c r="E38" s="98">
        <v>5</v>
      </c>
      <c r="F38" s="98">
        <v>5</v>
      </c>
      <c r="G38" s="98">
        <v>5</v>
      </c>
      <c r="H38" s="98">
        <v>5</v>
      </c>
      <c r="I38" s="98">
        <v>5</v>
      </c>
      <c r="J38" s="98">
        <v>5</v>
      </c>
      <c r="K38" s="98">
        <v>5</v>
      </c>
      <c r="L38" s="98">
        <v>5</v>
      </c>
      <c r="M38" s="98">
        <v>5</v>
      </c>
      <c r="N38" s="98">
        <v>5</v>
      </c>
      <c r="O38" s="98">
        <v>5</v>
      </c>
      <c r="P38" s="73">
        <f t="shared" si="15"/>
        <v>60</v>
      </c>
      <c r="R38" s="88"/>
      <c r="S38" s="39">
        <f t="shared" si="16"/>
        <v>46.153846153846153</v>
      </c>
      <c r="T38" s="98">
        <v>60</v>
      </c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</row>
    <row r="39" spans="2:32" ht="32" x14ac:dyDescent="0.4">
      <c r="B39" s="95" t="s">
        <v>110</v>
      </c>
      <c r="C39" s="97"/>
      <c r="D39" s="98">
        <v>1</v>
      </c>
      <c r="E39" s="98">
        <v>1</v>
      </c>
      <c r="F39" s="98">
        <v>1</v>
      </c>
      <c r="G39" s="98">
        <v>1</v>
      </c>
      <c r="H39" s="98">
        <v>1</v>
      </c>
      <c r="I39" s="98">
        <v>1</v>
      </c>
      <c r="J39" s="98">
        <v>1</v>
      </c>
      <c r="K39" s="98">
        <v>1</v>
      </c>
      <c r="L39" s="98">
        <v>1</v>
      </c>
      <c r="M39" s="98">
        <v>1</v>
      </c>
      <c r="N39" s="98">
        <v>1</v>
      </c>
      <c r="O39" s="98">
        <v>1</v>
      </c>
      <c r="P39" s="73">
        <f t="shared" si="15"/>
        <v>12</v>
      </c>
      <c r="R39" s="88">
        <f>(P39-379)/379</f>
        <v>-0.9683377308707124</v>
      </c>
      <c r="S39" s="39">
        <f t="shared" si="16"/>
        <v>9.2307692307692299</v>
      </c>
      <c r="T39" s="82">
        <v>120</v>
      </c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</row>
    <row r="40" spans="2:32" x14ac:dyDescent="0.4">
      <c r="B40" s="95" t="s">
        <v>111</v>
      </c>
      <c r="C40" s="97"/>
      <c r="D40" s="98">
        <v>1</v>
      </c>
      <c r="E40" s="98">
        <v>1</v>
      </c>
      <c r="F40" s="98">
        <v>1</v>
      </c>
      <c r="G40" s="98">
        <v>1</v>
      </c>
      <c r="H40" s="98">
        <v>1</v>
      </c>
      <c r="I40" s="98">
        <v>1</v>
      </c>
      <c r="J40" s="98">
        <v>1</v>
      </c>
      <c r="K40" s="98">
        <v>1</v>
      </c>
      <c r="L40" s="98">
        <v>1</v>
      </c>
      <c r="M40" s="98">
        <v>1</v>
      </c>
      <c r="N40" s="98">
        <v>1</v>
      </c>
      <c r="O40" s="98">
        <v>1</v>
      </c>
      <c r="P40" s="73">
        <f t="shared" si="15"/>
        <v>12</v>
      </c>
      <c r="R40" s="88"/>
      <c r="S40" s="39">
        <f t="shared" si="16"/>
        <v>9.2307692307692299</v>
      </c>
      <c r="T40" s="82">
        <v>80</v>
      </c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</row>
    <row r="41" spans="2:32" x14ac:dyDescent="0.4">
      <c r="B41" s="95"/>
      <c r="C41" s="97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73"/>
      <c r="R41" s="88"/>
      <c r="S41" s="39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</row>
    <row r="42" spans="2:32" x14ac:dyDescent="0.4">
      <c r="B42" s="95"/>
      <c r="C42" s="8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73"/>
      <c r="R42" s="88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</row>
    <row r="43" spans="2:32" x14ac:dyDescent="0.35">
      <c r="B43" s="77"/>
      <c r="C43" s="86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</row>
    <row r="44" spans="2:32" ht="16.5" thickBot="1" x14ac:dyDescent="0.4">
      <c r="B44" s="70" t="s">
        <v>9</v>
      </c>
      <c r="C44" s="44"/>
    </row>
    <row r="45" spans="2:32" ht="16.5" thickBot="1" x14ac:dyDescent="0.4">
      <c r="B45" s="44" t="s">
        <v>51</v>
      </c>
      <c r="C45" s="44"/>
      <c r="D45" s="107" t="s">
        <v>58</v>
      </c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9"/>
    </row>
    <row r="46" spans="2:32" ht="35.4" hidden="1" customHeight="1" x14ac:dyDescent="0.35">
      <c r="B46" s="96" t="s">
        <v>56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R46" s="39">
        <v>200000</v>
      </c>
      <c r="S46" s="39">
        <f>R46</f>
        <v>200000</v>
      </c>
      <c r="T46" s="39">
        <f>S46</f>
        <v>200000</v>
      </c>
      <c r="U46" s="39"/>
      <c r="V46" s="39">
        <f t="shared" ref="V46:V47" si="17">T46</f>
        <v>200000</v>
      </c>
      <c r="W46" s="39">
        <f t="shared" ref="W46:W47" si="18">V46</f>
        <v>200000</v>
      </c>
      <c r="X46" s="39">
        <f t="shared" ref="X46:X47" si="19">W46</f>
        <v>200000</v>
      </c>
      <c r="Y46" s="39">
        <f t="shared" ref="Y46:Y47" si="20">X46</f>
        <v>200000</v>
      </c>
      <c r="Z46" s="39">
        <f t="shared" ref="Z46:Z47" si="21">Y46</f>
        <v>200000</v>
      </c>
      <c r="AA46" s="39">
        <f t="shared" ref="AA46:AA47" si="22">Z46</f>
        <v>200000</v>
      </c>
      <c r="AB46" s="39">
        <f t="shared" ref="AB46:AB47" si="23">AA46</f>
        <v>200000</v>
      </c>
      <c r="AC46" s="39">
        <f t="shared" ref="AC46:AC47" si="24">AB46</f>
        <v>200000</v>
      </c>
      <c r="AD46" s="39">
        <f t="shared" ref="AD46:AD47" si="25">AC46</f>
        <v>200000</v>
      </c>
    </row>
    <row r="47" spans="2:32" ht="32" hidden="1" x14ac:dyDescent="0.35">
      <c r="B47" s="96" t="s">
        <v>57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R47" s="39">
        <v>100000</v>
      </c>
      <c r="S47" s="39">
        <f>R47</f>
        <v>100000</v>
      </c>
      <c r="T47" s="39">
        <f>S47</f>
        <v>100000</v>
      </c>
      <c r="U47" s="39"/>
      <c r="V47" s="39">
        <f t="shared" si="17"/>
        <v>100000</v>
      </c>
      <c r="W47" s="39">
        <f t="shared" si="18"/>
        <v>100000</v>
      </c>
      <c r="X47" s="39">
        <f t="shared" si="19"/>
        <v>100000</v>
      </c>
      <c r="Y47" s="39">
        <f t="shared" si="20"/>
        <v>100000</v>
      </c>
      <c r="Z47" s="39">
        <f t="shared" si="21"/>
        <v>100000</v>
      </c>
      <c r="AA47" s="39">
        <f t="shared" si="22"/>
        <v>100000</v>
      </c>
      <c r="AB47" s="39">
        <f t="shared" si="23"/>
        <v>100000</v>
      </c>
      <c r="AC47" s="39">
        <f t="shared" si="24"/>
        <v>100000</v>
      </c>
      <c r="AD47" s="39">
        <f t="shared" si="25"/>
        <v>100000</v>
      </c>
    </row>
    <row r="48" spans="2:32" ht="32" hidden="1" x14ac:dyDescent="0.35">
      <c r="B48" s="96" t="s">
        <v>60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R48" s="75">
        <v>50000</v>
      </c>
      <c r="S48" s="75">
        <v>50000</v>
      </c>
      <c r="T48" s="75">
        <v>50000</v>
      </c>
      <c r="U48" s="75"/>
      <c r="V48" s="75">
        <v>50000</v>
      </c>
      <c r="W48" s="75">
        <v>50000</v>
      </c>
      <c r="X48" s="75">
        <v>50000</v>
      </c>
      <c r="Y48" s="75">
        <v>50000</v>
      </c>
      <c r="Z48" s="75">
        <v>50000</v>
      </c>
      <c r="AA48" s="75">
        <v>50000</v>
      </c>
      <c r="AB48" s="75">
        <v>50000</v>
      </c>
      <c r="AC48" s="75">
        <v>50000</v>
      </c>
      <c r="AD48" s="75">
        <v>50000</v>
      </c>
    </row>
    <row r="49" spans="2:30" ht="32" hidden="1" x14ac:dyDescent="0.35">
      <c r="B49" s="96" t="s">
        <v>61</v>
      </c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R49" s="75">
        <v>2000000</v>
      </c>
      <c r="S49" s="75">
        <v>2000000</v>
      </c>
      <c r="T49" s="75">
        <v>2000000</v>
      </c>
      <c r="U49" s="75"/>
      <c r="V49" s="75">
        <v>2000000</v>
      </c>
      <c r="W49" s="75">
        <v>2000000</v>
      </c>
      <c r="X49" s="75">
        <v>2000000</v>
      </c>
      <c r="Y49" s="75">
        <v>2000000</v>
      </c>
      <c r="Z49" s="75">
        <v>2000000</v>
      </c>
      <c r="AA49" s="75">
        <v>2000000</v>
      </c>
      <c r="AB49" s="75">
        <v>2000000</v>
      </c>
      <c r="AC49" s="75">
        <v>2000000</v>
      </c>
      <c r="AD49" s="75">
        <v>2000000</v>
      </c>
    </row>
    <row r="50" spans="2:30" s="44" customFormat="1" hidden="1" x14ac:dyDescent="0.35">
      <c r="B50" s="68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spans="2:30" s="44" customFormat="1" hidden="1" x14ac:dyDescent="0.35"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spans="2:30" ht="16.5" thickBot="1" x14ac:dyDescent="0.4">
      <c r="B52" s="78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</row>
    <row r="53" spans="2:30" ht="16.5" thickBot="1" x14ac:dyDescent="0.4">
      <c r="B53" s="79"/>
      <c r="C53" s="86"/>
      <c r="D53" s="107" t="s">
        <v>114</v>
      </c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9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</row>
    <row r="54" spans="2:30" x14ac:dyDescent="0.4">
      <c r="B54" s="95" t="s">
        <v>105</v>
      </c>
      <c r="C54" s="86"/>
      <c r="D54" s="75">
        <v>2000000</v>
      </c>
      <c r="E54" s="75">
        <f>D54</f>
        <v>2000000</v>
      </c>
      <c r="F54" s="75">
        <f t="shared" ref="F54:O56" si="26">E54</f>
        <v>2000000</v>
      </c>
      <c r="G54" s="75">
        <f t="shared" si="26"/>
        <v>2000000</v>
      </c>
      <c r="H54" s="75">
        <f t="shared" si="26"/>
        <v>2000000</v>
      </c>
      <c r="I54" s="75">
        <f t="shared" si="26"/>
        <v>2000000</v>
      </c>
      <c r="J54" s="75">
        <f t="shared" si="26"/>
        <v>2000000</v>
      </c>
      <c r="K54" s="75">
        <f t="shared" si="26"/>
        <v>2000000</v>
      </c>
      <c r="L54" s="75">
        <f t="shared" si="26"/>
        <v>2000000</v>
      </c>
      <c r="M54" s="75">
        <f t="shared" si="26"/>
        <v>2000000</v>
      </c>
      <c r="N54" s="75">
        <f t="shared" si="26"/>
        <v>2000000</v>
      </c>
      <c r="O54" s="75">
        <f t="shared" si="26"/>
        <v>2000000</v>
      </c>
      <c r="P54" s="39">
        <f>SUM(D54:O54)</f>
        <v>24000000</v>
      </c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</row>
    <row r="55" spans="2:30" ht="32" x14ac:dyDescent="0.4">
      <c r="B55" s="95" t="s">
        <v>106</v>
      </c>
      <c r="C55" s="86"/>
      <c r="D55" s="75"/>
      <c r="E55" s="75"/>
      <c r="F55" s="75">
        <v>50000000</v>
      </c>
      <c r="G55" s="75"/>
      <c r="H55" s="75"/>
      <c r="I55" s="75">
        <f>F55</f>
        <v>50000000</v>
      </c>
      <c r="J55" s="75"/>
      <c r="K55" s="75"/>
      <c r="L55" s="75">
        <f>I55</f>
        <v>50000000</v>
      </c>
      <c r="M55" s="75"/>
      <c r="N55" s="75"/>
      <c r="O55" s="75">
        <f>F55</f>
        <v>50000000</v>
      </c>
      <c r="P55" s="39">
        <f t="shared" ref="P55:P60" si="27">SUM(D55:O55)</f>
        <v>200000000</v>
      </c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</row>
    <row r="56" spans="2:30" x14ac:dyDescent="0.4">
      <c r="B56" s="95" t="s">
        <v>107</v>
      </c>
      <c r="C56" s="86"/>
      <c r="D56" s="75">
        <v>4000000</v>
      </c>
      <c r="E56" s="75">
        <f>D56</f>
        <v>4000000</v>
      </c>
      <c r="F56" s="75">
        <f t="shared" si="26"/>
        <v>4000000</v>
      </c>
      <c r="G56" s="75">
        <f t="shared" si="26"/>
        <v>4000000</v>
      </c>
      <c r="H56" s="75">
        <f t="shared" si="26"/>
        <v>4000000</v>
      </c>
      <c r="I56" s="75">
        <f t="shared" si="26"/>
        <v>4000000</v>
      </c>
      <c r="J56" s="75">
        <f t="shared" si="26"/>
        <v>4000000</v>
      </c>
      <c r="K56" s="75">
        <f t="shared" si="26"/>
        <v>4000000</v>
      </c>
      <c r="L56" s="75">
        <f t="shared" si="26"/>
        <v>4000000</v>
      </c>
      <c r="M56" s="75">
        <f t="shared" si="26"/>
        <v>4000000</v>
      </c>
      <c r="N56" s="75">
        <f t="shared" si="26"/>
        <v>4000000</v>
      </c>
      <c r="O56" s="75">
        <f t="shared" si="26"/>
        <v>4000000</v>
      </c>
      <c r="P56" s="39">
        <f t="shared" si="27"/>
        <v>48000000</v>
      </c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</row>
    <row r="57" spans="2:30" ht="32" x14ac:dyDescent="0.4">
      <c r="B57" s="95" t="s">
        <v>108</v>
      </c>
      <c r="C57" s="86"/>
      <c r="D57" s="75"/>
      <c r="E57" s="75"/>
      <c r="F57" s="75">
        <v>27000000</v>
      </c>
      <c r="G57" s="75"/>
      <c r="H57" s="75"/>
      <c r="I57" s="75">
        <f>F57</f>
        <v>27000000</v>
      </c>
      <c r="J57" s="75"/>
      <c r="K57" s="75"/>
      <c r="L57" s="75">
        <f>I57</f>
        <v>27000000</v>
      </c>
      <c r="M57" s="75"/>
      <c r="N57" s="75"/>
      <c r="O57" s="75">
        <f>L57</f>
        <v>27000000</v>
      </c>
      <c r="P57" s="39">
        <f t="shared" si="27"/>
        <v>108000000</v>
      </c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</row>
    <row r="58" spans="2:30" x14ac:dyDescent="0.4">
      <c r="B58" s="95" t="s">
        <v>109</v>
      </c>
      <c r="C58" s="86"/>
      <c r="D58" s="75">
        <v>4100000</v>
      </c>
      <c r="E58" s="75">
        <v>4100000</v>
      </c>
      <c r="F58" s="75">
        <v>4100000</v>
      </c>
      <c r="G58" s="75">
        <v>4100000</v>
      </c>
      <c r="H58" s="75">
        <v>4100000</v>
      </c>
      <c r="I58" s="75">
        <v>4100000</v>
      </c>
      <c r="J58" s="75">
        <v>4100000</v>
      </c>
      <c r="K58" s="75">
        <v>4100000</v>
      </c>
      <c r="L58" s="75">
        <v>4100000</v>
      </c>
      <c r="M58" s="75">
        <v>4100000</v>
      </c>
      <c r="N58" s="75">
        <v>4100000</v>
      </c>
      <c r="O58" s="75">
        <v>4100000</v>
      </c>
      <c r="P58" s="39">
        <f t="shared" si="27"/>
        <v>49200000</v>
      </c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</row>
    <row r="59" spans="2:30" ht="32" x14ac:dyDescent="0.4">
      <c r="B59" s="95" t="s">
        <v>110</v>
      </c>
      <c r="C59" s="86"/>
      <c r="D59" s="75">
        <v>2500000</v>
      </c>
      <c r="E59" s="75">
        <v>2500000</v>
      </c>
      <c r="F59" s="75">
        <v>2500000</v>
      </c>
      <c r="G59" s="75">
        <v>2500000</v>
      </c>
      <c r="H59" s="75">
        <v>2500000</v>
      </c>
      <c r="I59" s="75">
        <v>2500000</v>
      </c>
      <c r="J59" s="75">
        <v>2500000</v>
      </c>
      <c r="K59" s="75">
        <v>2500000</v>
      </c>
      <c r="L59" s="75">
        <v>2500000</v>
      </c>
      <c r="M59" s="75">
        <v>2500000</v>
      </c>
      <c r="N59" s="75">
        <v>2500000</v>
      </c>
      <c r="O59" s="75">
        <v>2500000</v>
      </c>
      <c r="P59" s="39">
        <f t="shared" si="27"/>
        <v>30000000</v>
      </c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</row>
    <row r="60" spans="2:30" ht="32" x14ac:dyDescent="0.4">
      <c r="B60" s="95" t="s">
        <v>115</v>
      </c>
      <c r="C60" s="86"/>
      <c r="D60" s="75">
        <v>5000000</v>
      </c>
      <c r="E60" s="75">
        <v>5000000</v>
      </c>
      <c r="F60" s="75">
        <v>5000000</v>
      </c>
      <c r="G60" s="75">
        <v>5000000</v>
      </c>
      <c r="H60" s="75">
        <v>5000000</v>
      </c>
      <c r="I60" s="75">
        <v>5000000</v>
      </c>
      <c r="J60" s="75">
        <v>5000000</v>
      </c>
      <c r="K60" s="75">
        <v>5000000</v>
      </c>
      <c r="L60" s="75">
        <v>5000000</v>
      </c>
      <c r="M60" s="75">
        <v>5000000</v>
      </c>
      <c r="N60" s="75">
        <v>5000000</v>
      </c>
      <c r="O60" s="75">
        <v>5000000</v>
      </c>
      <c r="P60" s="39">
        <f t="shared" si="27"/>
        <v>60000000</v>
      </c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</row>
    <row r="61" spans="2:30" x14ac:dyDescent="0.4">
      <c r="B61" s="95"/>
      <c r="C61" s="86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39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</row>
    <row r="62" spans="2:30" x14ac:dyDescent="0.35">
      <c r="B62" s="77"/>
      <c r="C62" s="86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</row>
    <row r="63" spans="2:30" x14ac:dyDescent="0.35">
      <c r="B63" s="77"/>
      <c r="C63" s="86"/>
      <c r="D63" s="80"/>
    </row>
    <row r="64" spans="2:30" x14ac:dyDescent="0.35">
      <c r="B64" s="70" t="s">
        <v>54</v>
      </c>
    </row>
    <row r="65" spans="2:14" ht="14.5" customHeight="1" x14ac:dyDescent="0.35">
      <c r="B65" s="69"/>
      <c r="C65" s="69"/>
      <c r="D65" s="44" t="s">
        <v>45</v>
      </c>
      <c r="E65" s="44" t="s">
        <v>47</v>
      </c>
      <c r="F65" s="44" t="s">
        <v>48</v>
      </c>
      <c r="G65" s="44" t="s">
        <v>49</v>
      </c>
      <c r="H65" s="44" t="s">
        <v>50</v>
      </c>
    </row>
    <row r="66" spans="2:14" x14ac:dyDescent="0.35">
      <c r="B66" s="69" t="s">
        <v>36</v>
      </c>
      <c r="C66" s="69"/>
      <c r="E66" s="88">
        <v>0.15</v>
      </c>
      <c r="F66" s="88">
        <v>0.15</v>
      </c>
      <c r="G66" s="88">
        <v>0.15</v>
      </c>
      <c r="H66" s="88">
        <v>0.15</v>
      </c>
      <c r="I66" s="88"/>
      <c r="J66" s="89"/>
      <c r="K66" s="89"/>
      <c r="L66" s="89"/>
      <c r="M66" s="89"/>
      <c r="N66" s="89"/>
    </row>
    <row r="67" spans="2:14" x14ac:dyDescent="0.35">
      <c r="B67" s="69" t="s">
        <v>37</v>
      </c>
      <c r="C67" s="69"/>
      <c r="E67" s="88">
        <v>0.15</v>
      </c>
      <c r="F67" s="88">
        <v>0.15</v>
      </c>
      <c r="G67" s="88">
        <v>0.15</v>
      </c>
      <c r="H67" s="88">
        <v>0.15</v>
      </c>
      <c r="I67" s="88"/>
      <c r="J67" s="89"/>
      <c r="K67" s="89"/>
      <c r="L67" s="89"/>
      <c r="M67" s="89"/>
      <c r="N67" s="89"/>
    </row>
    <row r="68" spans="2:14" x14ac:dyDescent="0.35">
      <c r="B68" s="69"/>
      <c r="C68" s="69"/>
      <c r="E68" s="88"/>
      <c r="F68" s="88"/>
      <c r="G68" s="88"/>
      <c r="H68" s="88"/>
      <c r="I68" s="88"/>
      <c r="J68" s="89"/>
      <c r="K68" s="90" t="s">
        <v>64</v>
      </c>
      <c r="L68" s="89"/>
      <c r="M68" s="89"/>
      <c r="N68" s="89"/>
    </row>
    <row r="69" spans="2:14" x14ac:dyDescent="0.35">
      <c r="B69" s="68" t="s">
        <v>39</v>
      </c>
      <c r="C69" s="87"/>
      <c r="E69" s="88">
        <v>0.2</v>
      </c>
      <c r="F69" s="88">
        <v>0.2</v>
      </c>
      <c r="G69" s="88">
        <v>0.2</v>
      </c>
      <c r="H69" s="88">
        <v>0.2</v>
      </c>
      <c r="I69" s="88"/>
      <c r="J69" s="89"/>
      <c r="K69" s="39">
        <f>P5+P13</f>
        <v>1280000000</v>
      </c>
      <c r="L69" s="89"/>
      <c r="M69" s="89"/>
      <c r="N69" s="89"/>
    </row>
    <row r="70" spans="2:14" x14ac:dyDescent="0.35">
      <c r="B70" s="68" t="s">
        <v>116</v>
      </c>
      <c r="C70" s="63">
        <v>0.5</v>
      </c>
      <c r="D70" s="39">
        <f>C70*K69</f>
        <v>640000000</v>
      </c>
      <c r="E70" s="88">
        <v>0.1</v>
      </c>
      <c r="F70" s="88">
        <v>0.08</v>
      </c>
      <c r="G70" s="88">
        <v>0.08</v>
      </c>
      <c r="H70" s="88">
        <v>0.06</v>
      </c>
      <c r="I70" s="91" t="s">
        <v>63</v>
      </c>
      <c r="J70" s="89"/>
      <c r="K70" s="39"/>
      <c r="L70" s="89"/>
      <c r="M70" s="89"/>
      <c r="N70" s="89"/>
    </row>
    <row r="71" spans="2:14" x14ac:dyDescent="0.35">
      <c r="B71" s="68" t="s">
        <v>68</v>
      </c>
      <c r="C71" s="63"/>
      <c r="D71" s="39">
        <f>V105</f>
        <v>3700000</v>
      </c>
      <c r="E71" s="88"/>
      <c r="F71" s="88"/>
      <c r="G71" s="88"/>
      <c r="H71" s="88"/>
      <c r="I71" s="91" t="s">
        <v>62</v>
      </c>
      <c r="J71" s="89"/>
      <c r="K71" s="39"/>
      <c r="L71" s="89"/>
      <c r="M71" s="89"/>
      <c r="N71" s="89"/>
    </row>
    <row r="72" spans="2:14" x14ac:dyDescent="0.35">
      <c r="B72" s="68" t="s">
        <v>75</v>
      </c>
      <c r="C72" s="63">
        <v>0.01</v>
      </c>
      <c r="D72" s="39">
        <f>C72*K69</f>
        <v>12800000</v>
      </c>
      <c r="E72" s="88"/>
      <c r="F72" s="88"/>
      <c r="G72" s="88"/>
      <c r="H72" s="88"/>
      <c r="I72" s="91"/>
      <c r="J72" s="89"/>
      <c r="K72" s="39"/>
      <c r="L72" s="89"/>
      <c r="M72" s="89"/>
      <c r="N72" s="89"/>
    </row>
    <row r="73" spans="2:14" ht="13.5" customHeight="1" x14ac:dyDescent="0.35">
      <c r="B73" s="68" t="s">
        <v>69</v>
      </c>
      <c r="C73" s="63">
        <v>0</v>
      </c>
      <c r="D73" s="39">
        <f>C73*K69</f>
        <v>0</v>
      </c>
      <c r="E73" s="88">
        <v>0.1</v>
      </c>
      <c r="F73" s="88">
        <v>0.08</v>
      </c>
      <c r="G73" s="88">
        <v>0.05</v>
      </c>
      <c r="H73" s="88">
        <v>0.05</v>
      </c>
      <c r="I73" s="91" t="s">
        <v>63</v>
      </c>
      <c r="J73" s="89"/>
      <c r="K73" s="39"/>
      <c r="L73" s="89"/>
      <c r="M73" s="89"/>
      <c r="N73" s="89"/>
    </row>
    <row r="74" spans="2:14" ht="13.5" customHeight="1" x14ac:dyDescent="0.35">
      <c r="C74" s="63"/>
      <c r="D74" s="39">
        <f>SUM(D70:D73)</f>
        <v>656500000</v>
      </c>
      <c r="E74" s="88"/>
      <c r="F74" s="88"/>
      <c r="G74" s="88"/>
      <c r="H74" s="88"/>
      <c r="I74" s="91"/>
      <c r="J74" s="89"/>
      <c r="K74" s="39"/>
      <c r="L74" s="89"/>
      <c r="M74" s="89"/>
      <c r="N74" s="89"/>
    </row>
    <row r="75" spans="2:14" x14ac:dyDescent="0.35">
      <c r="K75" s="39"/>
    </row>
    <row r="76" spans="2:14" x14ac:dyDescent="0.35">
      <c r="B76" s="68" t="s">
        <v>96</v>
      </c>
      <c r="K76" s="39"/>
    </row>
    <row r="77" spans="2:14" x14ac:dyDescent="0.4">
      <c r="B77" s="55" t="s">
        <v>70</v>
      </c>
      <c r="C77" s="63"/>
      <c r="D77" s="92">
        <f>V111</f>
        <v>0</v>
      </c>
      <c r="E77" s="88">
        <v>0.1</v>
      </c>
      <c r="F77" s="88">
        <v>0.1</v>
      </c>
      <c r="G77" s="88">
        <v>0.1</v>
      </c>
      <c r="H77" s="88">
        <v>0.1</v>
      </c>
      <c r="I77" s="91" t="s">
        <v>97</v>
      </c>
      <c r="K77" s="75"/>
    </row>
    <row r="78" spans="2:14" x14ac:dyDescent="0.4">
      <c r="B78" s="55" t="s">
        <v>30</v>
      </c>
      <c r="C78" s="63">
        <v>0.01</v>
      </c>
      <c r="D78" s="93">
        <f>(D74*C78)/12</f>
        <v>547083.33333333337</v>
      </c>
      <c r="E78" s="89"/>
      <c r="F78" s="89"/>
      <c r="G78" s="89"/>
      <c r="H78" s="89"/>
      <c r="I78" s="68" t="s">
        <v>34</v>
      </c>
    </row>
    <row r="79" spans="2:14" x14ac:dyDescent="0.4">
      <c r="B79" s="55" t="s">
        <v>29</v>
      </c>
      <c r="C79" s="66">
        <v>5.0000000000000001E-4</v>
      </c>
      <c r="D79" s="93">
        <f>(C79*D74)/12</f>
        <v>27354.166666666668</v>
      </c>
      <c r="E79" s="89"/>
      <c r="F79" s="89"/>
      <c r="G79" s="89"/>
      <c r="H79" s="89"/>
      <c r="I79" s="68" t="s">
        <v>35</v>
      </c>
    </row>
    <row r="80" spans="2:14" x14ac:dyDescent="0.4">
      <c r="B80" s="55" t="s">
        <v>66</v>
      </c>
      <c r="D80" s="92">
        <v>150000</v>
      </c>
      <c r="E80" s="89"/>
      <c r="F80" s="89"/>
      <c r="G80" s="89"/>
      <c r="H80" s="89"/>
      <c r="I80" s="94" t="s">
        <v>65</v>
      </c>
    </row>
    <row r="81" spans="2:22" x14ac:dyDescent="0.4">
      <c r="B81" s="55" t="s">
        <v>121</v>
      </c>
      <c r="D81" s="92">
        <v>416667</v>
      </c>
      <c r="E81" s="39"/>
      <c r="F81" s="89"/>
      <c r="G81" s="89"/>
      <c r="H81" s="89"/>
      <c r="I81" s="94" t="s">
        <v>67</v>
      </c>
    </row>
    <row r="82" spans="2:22" x14ac:dyDescent="0.4">
      <c r="B82" s="55" t="s">
        <v>27</v>
      </c>
      <c r="D82" s="92">
        <v>50000</v>
      </c>
      <c r="E82" s="89"/>
      <c r="F82" s="89"/>
      <c r="G82" s="89"/>
      <c r="H82" s="89"/>
      <c r="I82" s="89"/>
    </row>
    <row r="83" spans="2:22" x14ac:dyDescent="0.4">
      <c r="B83" s="55" t="s">
        <v>123</v>
      </c>
      <c r="D83" s="92">
        <v>100000</v>
      </c>
      <c r="E83" s="94"/>
      <c r="F83" s="89"/>
      <c r="G83" s="89"/>
      <c r="H83" s="89"/>
      <c r="I83" s="89"/>
    </row>
    <row r="84" spans="2:22" x14ac:dyDescent="0.4">
      <c r="B84" s="55" t="s">
        <v>46</v>
      </c>
      <c r="D84" s="92">
        <f>3000000/12*0</f>
        <v>0</v>
      </c>
      <c r="E84" s="89"/>
      <c r="F84" s="89"/>
      <c r="G84" s="89"/>
      <c r="H84" s="89"/>
      <c r="I84" s="89"/>
    </row>
    <row r="85" spans="2:22" x14ac:dyDescent="0.4">
      <c r="B85" s="55" t="s">
        <v>100</v>
      </c>
      <c r="D85" s="92">
        <v>200000</v>
      </c>
      <c r="E85" s="89"/>
      <c r="F85" s="89"/>
      <c r="G85" s="89"/>
      <c r="H85" s="89"/>
      <c r="I85" s="89"/>
    </row>
    <row r="86" spans="2:22" x14ac:dyDescent="0.4">
      <c r="B86" s="55" t="s">
        <v>24</v>
      </c>
      <c r="D86" s="92">
        <f>1200000*0</f>
        <v>0</v>
      </c>
      <c r="E86" s="89"/>
      <c r="F86" s="89"/>
      <c r="G86" s="89"/>
      <c r="H86" s="89"/>
      <c r="I86" s="89"/>
    </row>
    <row r="87" spans="2:22" x14ac:dyDescent="0.4">
      <c r="B87" s="55" t="s">
        <v>101</v>
      </c>
      <c r="D87" s="92">
        <v>600000</v>
      </c>
      <c r="E87" s="89"/>
      <c r="F87" s="89"/>
      <c r="G87" s="89"/>
      <c r="H87" s="89"/>
      <c r="I87" s="89"/>
    </row>
    <row r="88" spans="2:22" x14ac:dyDescent="0.4">
      <c r="B88" s="55" t="s">
        <v>23</v>
      </c>
      <c r="D88" s="92">
        <f>2500000*0</f>
        <v>0</v>
      </c>
      <c r="E88" s="89"/>
      <c r="F88" s="89"/>
      <c r="G88" s="89"/>
      <c r="H88" s="89"/>
      <c r="I88" s="89"/>
    </row>
    <row r="89" spans="2:22" x14ac:dyDescent="0.4">
      <c r="B89" s="55" t="s">
        <v>122</v>
      </c>
      <c r="D89" s="92">
        <v>250000</v>
      </c>
      <c r="E89" s="89"/>
      <c r="F89" s="89"/>
      <c r="G89" s="89"/>
      <c r="H89" s="89"/>
      <c r="I89" s="89"/>
    </row>
    <row r="90" spans="2:22" x14ac:dyDescent="0.4">
      <c r="B90" s="55" t="s">
        <v>72</v>
      </c>
      <c r="D90" s="92">
        <v>100000</v>
      </c>
      <c r="E90" s="89"/>
      <c r="F90" s="89"/>
      <c r="G90" s="89"/>
      <c r="H90" s="89"/>
      <c r="I90" s="89"/>
    </row>
    <row r="91" spans="2:22" x14ac:dyDescent="0.35">
      <c r="B91" s="68" t="s">
        <v>73</v>
      </c>
      <c r="D91" s="92">
        <f>6000000/12</f>
        <v>500000</v>
      </c>
    </row>
    <row r="92" spans="2:22" x14ac:dyDescent="0.35">
      <c r="B92" s="68" t="s">
        <v>92</v>
      </c>
      <c r="C92" s="63">
        <v>0.05</v>
      </c>
      <c r="D92" s="92">
        <v>1500000</v>
      </c>
    </row>
    <row r="93" spans="2:22" ht="32" x14ac:dyDescent="0.4">
      <c r="D93" s="93"/>
      <c r="T93" s="99" t="s">
        <v>91</v>
      </c>
      <c r="U93" s="99" t="s">
        <v>90</v>
      </c>
      <c r="V93" s="99" t="s">
        <v>89</v>
      </c>
    </row>
    <row r="94" spans="2:22" x14ac:dyDescent="0.35">
      <c r="D94" s="93"/>
      <c r="R94" s="48"/>
      <c r="T94" s="75"/>
      <c r="U94" s="75"/>
      <c r="V94" s="39"/>
    </row>
    <row r="95" spans="2:22" x14ac:dyDescent="0.35">
      <c r="D95" s="93"/>
      <c r="R95" s="48"/>
      <c r="T95" s="75"/>
      <c r="U95" s="75"/>
      <c r="V95" s="39"/>
    </row>
    <row r="96" spans="2:22" x14ac:dyDescent="0.35">
      <c r="D96" s="93"/>
      <c r="R96" s="48"/>
      <c r="T96" s="75"/>
      <c r="U96" s="75"/>
      <c r="V96" s="39"/>
    </row>
    <row r="97" spans="4:26" x14ac:dyDescent="0.35">
      <c r="D97" s="93"/>
      <c r="R97" s="48"/>
      <c r="T97" s="75"/>
      <c r="U97" s="75"/>
      <c r="V97" s="39"/>
    </row>
    <row r="98" spans="4:26" x14ac:dyDescent="0.35">
      <c r="D98" s="93"/>
      <c r="R98" s="48"/>
      <c r="T98" s="75"/>
      <c r="U98" s="75"/>
      <c r="V98" s="39"/>
    </row>
    <row r="99" spans="4:26" x14ac:dyDescent="0.35">
      <c r="D99" s="93"/>
      <c r="R99" s="48"/>
      <c r="T99" s="75"/>
      <c r="U99" s="75"/>
      <c r="V99" s="39"/>
    </row>
    <row r="100" spans="4:26" x14ac:dyDescent="0.35">
      <c r="D100" s="93"/>
      <c r="R100" s="48"/>
      <c r="T100" s="75"/>
      <c r="U100" s="75"/>
      <c r="V100" s="39"/>
      <c r="W100" s="68"/>
    </row>
    <row r="101" spans="4:26" x14ac:dyDescent="0.35">
      <c r="D101" s="93"/>
      <c r="R101" s="48" t="s">
        <v>117</v>
      </c>
      <c r="S101" s="40">
        <v>1</v>
      </c>
      <c r="T101" s="102">
        <v>1300000</v>
      </c>
      <c r="U101" s="102">
        <f>1850000/2</f>
        <v>925000</v>
      </c>
      <c r="V101" s="103">
        <f t="shared" ref="V101:V104" si="28">S101*U101</f>
        <v>925000</v>
      </c>
      <c r="W101" s="68" t="s">
        <v>103</v>
      </c>
    </row>
    <row r="102" spans="4:26" x14ac:dyDescent="0.35">
      <c r="D102" s="93"/>
      <c r="R102" s="48" t="s">
        <v>118</v>
      </c>
      <c r="S102" s="40">
        <v>2</v>
      </c>
      <c r="T102" s="75">
        <v>400000</v>
      </c>
      <c r="U102" s="75">
        <f>947500/2</f>
        <v>473750</v>
      </c>
      <c r="V102" s="39">
        <f t="shared" si="28"/>
        <v>947500</v>
      </c>
      <c r="W102" s="68"/>
    </row>
    <row r="103" spans="4:26" x14ac:dyDescent="0.35">
      <c r="D103" s="93"/>
      <c r="R103" s="48" t="s">
        <v>119</v>
      </c>
      <c r="S103" s="40">
        <v>1</v>
      </c>
      <c r="T103" s="75">
        <v>250000</v>
      </c>
      <c r="U103" s="75">
        <f>427350/2</f>
        <v>213675</v>
      </c>
      <c r="V103" s="39">
        <f t="shared" si="28"/>
        <v>213675</v>
      </c>
      <c r="W103" s="68"/>
    </row>
    <row r="104" spans="4:26" x14ac:dyDescent="0.35">
      <c r="D104" s="93"/>
      <c r="R104" s="48" t="s">
        <v>120</v>
      </c>
      <c r="S104" s="40">
        <v>1</v>
      </c>
      <c r="T104" s="75">
        <v>350000</v>
      </c>
      <c r="U104" s="75">
        <f>427350/2</f>
        <v>213675</v>
      </c>
      <c r="V104" s="39">
        <f t="shared" si="28"/>
        <v>213675</v>
      </c>
      <c r="W104" s="68"/>
    </row>
    <row r="105" spans="4:26" x14ac:dyDescent="0.35">
      <c r="D105" s="93"/>
      <c r="S105" s="40">
        <f>SUM(S94:S104)</f>
        <v>5</v>
      </c>
      <c r="V105" s="73">
        <v>3700000</v>
      </c>
      <c r="W105" s="68" t="s">
        <v>102</v>
      </c>
    </row>
    <row r="106" spans="4:26" x14ac:dyDescent="0.35">
      <c r="D106" s="93"/>
      <c r="Z106" s="39"/>
    </row>
    <row r="107" spans="4:26" x14ac:dyDescent="0.35">
      <c r="R107" s="40" t="s">
        <v>99</v>
      </c>
    </row>
    <row r="108" spans="4:26" x14ac:dyDescent="0.35">
      <c r="R108" s="68" t="s">
        <v>93</v>
      </c>
      <c r="S108" s="40">
        <v>1</v>
      </c>
      <c r="U108" s="100"/>
      <c r="V108" s="39"/>
      <c r="W108" s="68" t="s">
        <v>95</v>
      </c>
    </row>
    <row r="109" spans="4:26" x14ac:dyDescent="0.35">
      <c r="R109" s="68" t="s">
        <v>94</v>
      </c>
      <c r="S109" s="40">
        <v>1</v>
      </c>
      <c r="U109" s="100"/>
      <c r="V109" s="39"/>
      <c r="W109" s="68" t="s">
        <v>95</v>
      </c>
    </row>
    <row r="111" spans="4:26" x14ac:dyDescent="0.35">
      <c r="V111" s="73">
        <f>SUM(V108:V109)</f>
        <v>0</v>
      </c>
    </row>
  </sheetData>
  <mergeCells count="2">
    <mergeCell ref="D53:O53"/>
    <mergeCell ref="D45:O45"/>
  </mergeCells>
  <phoneticPr fontId="4" type="noConversion"/>
  <dataValidations disablePrompts="1" count="1">
    <dataValidation type="list" allowBlank="1" showInputMessage="1" showErrorMessage="1" sqref="C5 C10:C11 C30:C31 C50:C51" xr:uid="{57E6DC3C-C991-4DFC-8F74-1E542A65FFBF}">
      <formula1>"Upside,Downside,Base case"</formula1>
    </dataValidation>
  </dataValidations>
  <pageMargins left="0.7" right="0.7" top="0.75" bottom="0.75" header="0.3" footer="0.3"/>
  <pageSetup scale="51" orientation="portrait" r:id="rId1"/>
  <rowBreaks count="1" manualBreakCount="1">
    <brk id="6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809C-B8C5-4DF2-8BA1-91FBEDEF5392}">
  <sheetPr>
    <outlinePr summaryRight="0"/>
  </sheetPr>
  <dimension ref="A2:Y54"/>
  <sheetViews>
    <sheetView showGridLines="0" tabSelected="1" view="pageBreakPreview" zoomScaleNormal="100" zoomScaleSheetLayoutView="100" workbookViewId="0">
      <pane xSplit="3" ySplit="4" topLeftCell="L5" activePane="bottomRight" state="frozen"/>
      <selection pane="topRight" activeCell="D1" sqref="D1"/>
      <selection pane="bottomLeft" activeCell="A5" sqref="A5"/>
      <selection pane="bottomRight" activeCell="O5" sqref="O5"/>
    </sheetView>
  </sheetViews>
  <sheetFormatPr defaultColWidth="9.1796875" defaultRowHeight="16" outlineLevelRow="1" outlineLevelCol="1" x14ac:dyDescent="0.35"/>
  <cols>
    <col min="1" max="1" width="1.453125" style="40" customWidth="1"/>
    <col min="2" max="2" width="36.54296875" style="48" bestFit="1" customWidth="1"/>
    <col min="3" max="3" width="6.81640625" style="40" bestFit="1" customWidth="1"/>
    <col min="4" max="4" width="13.1796875" style="40" bestFit="1" customWidth="1" outlineLevel="1"/>
    <col min="5" max="15" width="14.36328125" style="40" bestFit="1" customWidth="1" outlineLevel="1"/>
    <col min="16" max="16" width="16.1796875" style="44" bestFit="1" customWidth="1" collapsed="1"/>
    <col min="17" max="20" width="21.1796875" style="49" hidden="1" customWidth="1" outlineLevel="1"/>
    <col min="21" max="21" width="21.81640625" style="40" customWidth="1"/>
    <col min="22" max="16384" width="9.1796875" style="40"/>
  </cols>
  <sheetData>
    <row r="2" spans="1:25" ht="16.5" thickBot="1" x14ac:dyDescent="0.4">
      <c r="A2" s="35" t="s">
        <v>52</v>
      </c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8"/>
      <c r="R2" s="38"/>
      <c r="S2" s="38"/>
      <c r="T2" s="38"/>
      <c r="U2" s="39"/>
    </row>
    <row r="3" spans="1:25" s="44" customFormat="1" ht="17" thickTop="1" thickBot="1" x14ac:dyDescent="0.4">
      <c r="A3" s="41"/>
      <c r="B3" s="42"/>
      <c r="C3" s="41"/>
      <c r="D3" s="43" t="s">
        <v>77</v>
      </c>
      <c r="E3" s="43" t="s">
        <v>78</v>
      </c>
      <c r="F3" s="43" t="s">
        <v>79</v>
      </c>
      <c r="G3" s="43" t="s">
        <v>80</v>
      </c>
      <c r="H3" s="43" t="s">
        <v>0</v>
      </c>
      <c r="I3" s="43" t="s">
        <v>81</v>
      </c>
      <c r="J3" s="43" t="s">
        <v>82</v>
      </c>
      <c r="K3" s="43" t="s">
        <v>83</v>
      </c>
      <c r="L3" s="43" t="s">
        <v>84</v>
      </c>
      <c r="M3" s="43" t="s">
        <v>85</v>
      </c>
      <c r="N3" s="43" t="s">
        <v>86</v>
      </c>
      <c r="O3" s="43" t="s">
        <v>87</v>
      </c>
      <c r="P3" s="41" t="s">
        <v>45</v>
      </c>
      <c r="Q3" s="41" t="s">
        <v>47</v>
      </c>
      <c r="R3" s="41" t="s">
        <v>48</v>
      </c>
      <c r="S3" s="41" t="s">
        <v>49</v>
      </c>
      <c r="T3" s="41" t="s">
        <v>50</v>
      </c>
      <c r="U3" s="39"/>
      <c r="V3" s="40"/>
      <c r="W3" s="40"/>
      <c r="X3" s="40"/>
      <c r="Y3" s="40"/>
    </row>
    <row r="4" spans="1:25" ht="17" thickTop="1" thickBot="1" x14ac:dyDescent="0.4">
      <c r="A4" s="41"/>
      <c r="B4" s="42"/>
      <c r="C4" s="41"/>
      <c r="D4" s="41" t="s">
        <v>98</v>
      </c>
      <c r="E4" s="41" t="s">
        <v>98</v>
      </c>
      <c r="F4" s="41" t="s">
        <v>98</v>
      </c>
      <c r="G4" s="41" t="s">
        <v>98</v>
      </c>
      <c r="H4" s="41" t="s">
        <v>98</v>
      </c>
      <c r="I4" s="41" t="s">
        <v>98</v>
      </c>
      <c r="J4" s="41" t="s">
        <v>98</v>
      </c>
      <c r="K4" s="41" t="s">
        <v>98</v>
      </c>
      <c r="L4" s="41" t="s">
        <v>98</v>
      </c>
      <c r="M4" s="41" t="s">
        <v>98</v>
      </c>
      <c r="N4" s="41" t="s">
        <v>98</v>
      </c>
      <c r="O4" s="41" t="s">
        <v>98</v>
      </c>
      <c r="P4" s="41" t="s">
        <v>1</v>
      </c>
      <c r="Q4" s="41" t="s">
        <v>1</v>
      </c>
      <c r="R4" s="41" t="s">
        <v>1</v>
      </c>
      <c r="S4" s="41" t="s">
        <v>1</v>
      </c>
      <c r="T4" s="41" t="s">
        <v>1</v>
      </c>
      <c r="U4" s="39"/>
    </row>
    <row r="5" spans="1:25" ht="18" customHeight="1" thickTop="1" thickBot="1" x14ac:dyDescent="0.4">
      <c r="B5" s="45" t="s">
        <v>2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  <c r="R5" s="47"/>
      <c r="S5" s="47"/>
      <c r="T5" s="47"/>
      <c r="U5" s="39"/>
    </row>
    <row r="6" spans="1:25" x14ac:dyDescent="0.35">
      <c r="B6" s="48" t="str">
        <f>'Assumption-(MedSupplies)'!B13</f>
        <v xml:space="preserve">Medsupplies </v>
      </c>
      <c r="D6" s="59">
        <f>'Assumption-(MedSupplies)'!D13</f>
        <v>36000000</v>
      </c>
      <c r="E6" s="59">
        <f>'Assumption-(MedSupplies)'!E13</f>
        <v>36000000</v>
      </c>
      <c r="F6" s="59">
        <f>'Assumption-(MedSupplies)'!F13</f>
        <v>248000000</v>
      </c>
      <c r="G6" s="59">
        <f>'Assumption-(MedSupplies)'!G13</f>
        <v>36000000</v>
      </c>
      <c r="H6" s="59">
        <f>'Assumption-(MedSupplies)'!H13</f>
        <v>36000000</v>
      </c>
      <c r="I6" s="59">
        <f>'Assumption-(MedSupplies)'!I13</f>
        <v>248000000</v>
      </c>
      <c r="J6" s="59">
        <f>'Assumption-(MedSupplies)'!J13</f>
        <v>36000000</v>
      </c>
      <c r="K6" s="59">
        <f>'Assumption-(MedSupplies)'!K13</f>
        <v>36000000</v>
      </c>
      <c r="L6" s="59">
        <f>'Assumption-(MedSupplies)'!L13</f>
        <v>248000000</v>
      </c>
      <c r="M6" s="59">
        <f>'Assumption-(MedSupplies)'!M13</f>
        <v>36000000</v>
      </c>
      <c r="N6" s="59">
        <f>'Assumption-(MedSupplies)'!N13</f>
        <v>36000000</v>
      </c>
      <c r="O6" s="59">
        <f>'Assumption-(MedSupplies)'!O13</f>
        <v>248000000</v>
      </c>
      <c r="P6" s="60">
        <f>SUM(D6:O6)</f>
        <v>1280000000</v>
      </c>
      <c r="Q6" s="50">
        <f>P6*(1+'Assumption-(MedSupplies)'!E$66)*(1+'Assumption-(MedSupplies)'!E$69)</f>
        <v>1766400000</v>
      </c>
      <c r="R6" s="50">
        <f>Q6*(1+'Assumption-(MedSupplies)'!F$66)*(1+'Assumption-(MedSupplies)'!F$69)</f>
        <v>2437631999.9999995</v>
      </c>
      <c r="S6" s="50">
        <f>R6*(1+'Assumption-(MedSupplies)'!G$66)*(1+'Assumption-(MedSupplies)'!G$69)</f>
        <v>3363932159.9999986</v>
      </c>
      <c r="T6" s="50">
        <f>S6*(1+'Assumption-(MedSupplies)'!H$66)*(1+'Assumption-(MedSupplies)'!H$69)</f>
        <v>4642226380.7999973</v>
      </c>
      <c r="U6" s="39"/>
    </row>
    <row r="7" spans="1:25" ht="16.5" thickBot="1" x14ac:dyDescent="0.4">
      <c r="B7" s="45"/>
      <c r="C7" s="45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2"/>
      <c r="Q7" s="51"/>
      <c r="R7" s="51"/>
      <c r="S7" s="51"/>
      <c r="T7" s="51"/>
      <c r="U7" s="39"/>
    </row>
    <row r="8" spans="1:25" s="44" customFormat="1" ht="16.5" thickBot="1" x14ac:dyDescent="0.4">
      <c r="B8" s="45" t="s">
        <v>3</v>
      </c>
      <c r="C8" s="45"/>
      <c r="D8" s="61">
        <f t="shared" ref="D8:T8" si="0">SUM(D6:D6)</f>
        <v>36000000</v>
      </c>
      <c r="E8" s="61">
        <f t="shared" si="0"/>
        <v>36000000</v>
      </c>
      <c r="F8" s="61">
        <f t="shared" si="0"/>
        <v>248000000</v>
      </c>
      <c r="G8" s="61">
        <f t="shared" si="0"/>
        <v>36000000</v>
      </c>
      <c r="H8" s="61">
        <f t="shared" si="0"/>
        <v>36000000</v>
      </c>
      <c r="I8" s="61">
        <f t="shared" si="0"/>
        <v>248000000</v>
      </c>
      <c r="J8" s="61">
        <f t="shared" si="0"/>
        <v>36000000</v>
      </c>
      <c r="K8" s="61">
        <f t="shared" si="0"/>
        <v>36000000</v>
      </c>
      <c r="L8" s="61">
        <f t="shared" si="0"/>
        <v>248000000</v>
      </c>
      <c r="M8" s="61">
        <f t="shared" si="0"/>
        <v>36000000</v>
      </c>
      <c r="N8" s="61">
        <f t="shared" si="0"/>
        <v>36000000</v>
      </c>
      <c r="O8" s="61">
        <f t="shared" si="0"/>
        <v>248000000</v>
      </c>
      <c r="P8" s="61">
        <f>SUM(P6:P6)</f>
        <v>1280000000</v>
      </c>
      <c r="Q8" s="56">
        <f t="shared" si="0"/>
        <v>1766400000</v>
      </c>
      <c r="R8" s="56">
        <f t="shared" si="0"/>
        <v>2437631999.9999995</v>
      </c>
      <c r="S8" s="56">
        <f t="shared" si="0"/>
        <v>3363932159.9999986</v>
      </c>
      <c r="T8" s="56">
        <f t="shared" si="0"/>
        <v>4642226380.7999973</v>
      </c>
      <c r="U8" s="39"/>
      <c r="V8" s="40"/>
      <c r="W8" s="40"/>
      <c r="X8" s="40"/>
      <c r="Y8" s="40"/>
    </row>
    <row r="9" spans="1:25" x14ac:dyDescent="0.35">
      <c r="D9" s="59"/>
      <c r="E9" s="101">
        <f>(E8-D8)/D8</f>
        <v>0</v>
      </c>
      <c r="F9" s="101">
        <f t="shared" ref="F9:J9" si="1">(F8-E8)/E8</f>
        <v>5.8888888888888893</v>
      </c>
      <c r="G9" s="101">
        <f t="shared" si="1"/>
        <v>-0.85483870967741937</v>
      </c>
      <c r="H9" s="101">
        <f t="shared" si="1"/>
        <v>0</v>
      </c>
      <c r="I9" s="101">
        <f t="shared" si="1"/>
        <v>5.8888888888888893</v>
      </c>
      <c r="J9" s="101">
        <f t="shared" si="1"/>
        <v>-0.85483870967741937</v>
      </c>
      <c r="K9" s="101">
        <f>(K8-J8)/J8</f>
        <v>0</v>
      </c>
      <c r="L9" s="101">
        <f t="shared" ref="L9" si="2">(L8-K8)/K8</f>
        <v>5.8888888888888893</v>
      </c>
      <c r="M9" s="101">
        <f t="shared" ref="M9" si="3">(M8-L8)/L8</f>
        <v>-0.85483870967741937</v>
      </c>
      <c r="N9" s="101">
        <f t="shared" ref="N9" si="4">(N8-M8)/M8</f>
        <v>0</v>
      </c>
      <c r="O9" s="101">
        <f t="shared" ref="O9" si="5">(O8-N8)/N8</f>
        <v>5.8888888888888893</v>
      </c>
      <c r="P9" s="60"/>
      <c r="Q9" s="104">
        <f>(Q8-P8)/P8</f>
        <v>0.38</v>
      </c>
      <c r="R9" s="104">
        <f t="shared" ref="R9:T9" si="6">(R8-Q8)/Q8</f>
        <v>0.37999999999999973</v>
      </c>
      <c r="S9" s="104">
        <f t="shared" si="6"/>
        <v>0.37999999999999967</v>
      </c>
      <c r="T9" s="104">
        <f t="shared" si="6"/>
        <v>0.37999999999999978</v>
      </c>
      <c r="U9" s="39"/>
    </row>
    <row r="10" spans="1:25" ht="16.5" thickBot="1" x14ac:dyDescent="0.4">
      <c r="B10" s="45" t="s">
        <v>4</v>
      </c>
      <c r="C10" s="46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52"/>
      <c r="R10" s="52"/>
      <c r="S10" s="52"/>
      <c r="T10" s="52"/>
      <c r="U10" s="39"/>
    </row>
    <row r="11" spans="1:25" x14ac:dyDescent="0.35">
      <c r="B11" s="48" t="s">
        <v>88</v>
      </c>
      <c r="C11" s="63">
        <f>'Assumption-(MedSupplies)'!C70</f>
        <v>0.5</v>
      </c>
      <c r="D11" s="59">
        <f>D$8*$C$11</f>
        <v>18000000</v>
      </c>
      <c r="E11" s="59">
        <f>E$8*$C$11</f>
        <v>18000000</v>
      </c>
      <c r="F11" s="59">
        <f t="shared" ref="F11:O11" si="7">F$8*$C$11</f>
        <v>124000000</v>
      </c>
      <c r="G11" s="59">
        <f t="shared" si="7"/>
        <v>18000000</v>
      </c>
      <c r="H11" s="59">
        <f t="shared" si="7"/>
        <v>18000000</v>
      </c>
      <c r="I11" s="59">
        <f t="shared" si="7"/>
        <v>124000000</v>
      </c>
      <c r="J11" s="59">
        <f t="shared" si="7"/>
        <v>18000000</v>
      </c>
      <c r="K11" s="59">
        <f t="shared" si="7"/>
        <v>18000000</v>
      </c>
      <c r="L11" s="59">
        <f t="shared" si="7"/>
        <v>124000000</v>
      </c>
      <c r="M11" s="59">
        <f t="shared" si="7"/>
        <v>18000000</v>
      </c>
      <c r="N11" s="59">
        <f t="shared" si="7"/>
        <v>18000000</v>
      </c>
      <c r="O11" s="59">
        <f t="shared" si="7"/>
        <v>124000000</v>
      </c>
      <c r="P11" s="60">
        <f>SUM(D11:O11)</f>
        <v>640000000</v>
      </c>
      <c r="Q11" s="50">
        <f>P$8*(1+'Assumption-(MedSupplies)'!E$70)*'Assumption-(MedSupplies)'!$C$70</f>
        <v>704000000</v>
      </c>
      <c r="R11" s="50">
        <f>Q$8*(1+'Assumption-(MedSupplies)'!F$70)*'Assumption-(MedSupplies)'!$C$70</f>
        <v>953856000.00000012</v>
      </c>
      <c r="S11" s="50">
        <f>R$8*(1+'Assumption-(MedSupplies)'!G$70)*'Assumption-(MedSupplies)'!$C$70</f>
        <v>1316321279.9999998</v>
      </c>
      <c r="T11" s="50">
        <f>S$8*(1+'Assumption-(MedSupplies)'!H$70)*'Assumption-(MedSupplies)'!$C$70</f>
        <v>1782884044.7999992</v>
      </c>
      <c r="U11" s="39"/>
    </row>
    <row r="12" spans="1:25" x14ac:dyDescent="0.35">
      <c r="B12" s="48" t="s">
        <v>68</v>
      </c>
      <c r="C12" s="88"/>
      <c r="D12" s="59">
        <f>'Assumption-(MedSupplies)'!V105</f>
        <v>3700000</v>
      </c>
      <c r="E12" s="59">
        <f>D12</f>
        <v>3700000</v>
      </c>
      <c r="F12" s="59">
        <f t="shared" ref="F12:O12" si="8">E12</f>
        <v>3700000</v>
      </c>
      <c r="G12" s="59">
        <f t="shared" si="8"/>
        <v>3700000</v>
      </c>
      <c r="H12" s="59">
        <f t="shared" si="8"/>
        <v>3700000</v>
      </c>
      <c r="I12" s="59">
        <f t="shared" si="8"/>
        <v>3700000</v>
      </c>
      <c r="J12" s="59">
        <f t="shared" si="8"/>
        <v>3700000</v>
      </c>
      <c r="K12" s="59">
        <f t="shared" si="8"/>
        <v>3700000</v>
      </c>
      <c r="L12" s="59">
        <f t="shared" si="8"/>
        <v>3700000</v>
      </c>
      <c r="M12" s="59">
        <f t="shared" si="8"/>
        <v>3700000</v>
      </c>
      <c r="N12" s="59">
        <f t="shared" si="8"/>
        <v>3700000</v>
      </c>
      <c r="O12" s="59">
        <f t="shared" si="8"/>
        <v>3700000</v>
      </c>
      <c r="P12" s="60">
        <f>SUM(D12:O12)</f>
        <v>44400000</v>
      </c>
      <c r="Q12" s="50">
        <f>P12</f>
        <v>44400000</v>
      </c>
      <c r="R12" s="50">
        <f t="shared" ref="R12:T12" si="9">Q12</f>
        <v>44400000</v>
      </c>
      <c r="S12" s="50">
        <f t="shared" si="9"/>
        <v>44400000</v>
      </c>
      <c r="T12" s="50">
        <f t="shared" si="9"/>
        <v>44400000</v>
      </c>
      <c r="U12" s="39"/>
    </row>
    <row r="13" spans="1:25" x14ac:dyDescent="0.35">
      <c r="B13" s="48" t="s">
        <v>75</v>
      </c>
      <c r="C13" s="63">
        <f>'Assumption-(MedSupplies)'!C72</f>
        <v>0.01</v>
      </c>
      <c r="D13" s="59">
        <f>$C$13*D8</f>
        <v>360000</v>
      </c>
      <c r="E13" s="59">
        <f>$C$13*E8</f>
        <v>360000</v>
      </c>
      <c r="F13" s="59">
        <f t="shared" ref="F13:O13" si="10">$C$13*F8</f>
        <v>2480000</v>
      </c>
      <c r="G13" s="59">
        <f t="shared" si="10"/>
        <v>360000</v>
      </c>
      <c r="H13" s="59">
        <f t="shared" si="10"/>
        <v>360000</v>
      </c>
      <c r="I13" s="59">
        <f t="shared" si="10"/>
        <v>2480000</v>
      </c>
      <c r="J13" s="59">
        <f t="shared" si="10"/>
        <v>360000</v>
      </c>
      <c r="K13" s="59">
        <f t="shared" si="10"/>
        <v>360000</v>
      </c>
      <c r="L13" s="59">
        <f t="shared" si="10"/>
        <v>2480000</v>
      </c>
      <c r="M13" s="59">
        <f t="shared" si="10"/>
        <v>360000</v>
      </c>
      <c r="N13" s="59">
        <f t="shared" si="10"/>
        <v>360000</v>
      </c>
      <c r="O13" s="59">
        <f t="shared" si="10"/>
        <v>2480000</v>
      </c>
      <c r="P13" s="60">
        <f>SUM(D13:O13)</f>
        <v>12800000</v>
      </c>
      <c r="Q13" s="50">
        <f>Q8*$C$13</f>
        <v>17664000</v>
      </c>
      <c r="R13" s="50">
        <f t="shared" ref="R13:T13" si="11">R8*$C$13</f>
        <v>24376319.999999996</v>
      </c>
      <c r="S13" s="50">
        <f t="shared" si="11"/>
        <v>33639321.599999987</v>
      </c>
      <c r="T13" s="50">
        <f t="shared" si="11"/>
        <v>46422263.807999976</v>
      </c>
      <c r="U13" s="39"/>
    </row>
    <row r="14" spans="1:25" x14ac:dyDescent="0.35">
      <c r="B14" s="48" t="s">
        <v>69</v>
      </c>
      <c r="C14" s="66">
        <f>'Assumption-(MedSupplies)'!C73</f>
        <v>0</v>
      </c>
      <c r="D14" s="59">
        <f>$C$14*D$8</f>
        <v>0</v>
      </c>
      <c r="E14" s="59">
        <f t="shared" ref="E14:O14" si="12">$C$14*E$8</f>
        <v>0</v>
      </c>
      <c r="F14" s="59">
        <f t="shared" si="12"/>
        <v>0</v>
      </c>
      <c r="G14" s="59">
        <f t="shared" si="12"/>
        <v>0</v>
      </c>
      <c r="H14" s="59">
        <f t="shared" si="12"/>
        <v>0</v>
      </c>
      <c r="I14" s="59">
        <f t="shared" si="12"/>
        <v>0</v>
      </c>
      <c r="J14" s="59">
        <f t="shared" si="12"/>
        <v>0</v>
      </c>
      <c r="K14" s="59">
        <f t="shared" si="12"/>
        <v>0</v>
      </c>
      <c r="L14" s="59">
        <f t="shared" si="12"/>
        <v>0</v>
      </c>
      <c r="M14" s="59">
        <f t="shared" si="12"/>
        <v>0</v>
      </c>
      <c r="N14" s="59">
        <f t="shared" si="12"/>
        <v>0</v>
      </c>
      <c r="O14" s="59">
        <f t="shared" si="12"/>
        <v>0</v>
      </c>
      <c r="P14" s="60">
        <f t="shared" ref="P14" si="13">SUM(D14:O14)</f>
        <v>0</v>
      </c>
      <c r="Q14" s="50">
        <f>P$8*(1+'Assumption-(MedSupplies)'!$E73)*'Assumption-(MedSupplies)'!$C$73</f>
        <v>0</v>
      </c>
      <c r="R14" s="50">
        <f>Q$8*(1+'Assumption-(MedSupplies)'!$E73)*'Assumption-(MedSupplies)'!$C$73</f>
        <v>0</v>
      </c>
      <c r="S14" s="50">
        <f>R$8*(1+'Assumption-(MedSupplies)'!$E73)*'Assumption-(MedSupplies)'!$C$73</f>
        <v>0</v>
      </c>
      <c r="T14" s="50">
        <f>S$8*(1+'Assumption-(MedSupplies)'!$E73)*'Assumption-(MedSupplies)'!$C$73</f>
        <v>0</v>
      </c>
      <c r="U14" s="39"/>
    </row>
    <row r="15" spans="1:25" ht="16.5" thickBot="1" x14ac:dyDescent="0.4">
      <c r="B15" s="45"/>
      <c r="C15" s="45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105"/>
      <c r="Q15" s="45"/>
      <c r="R15" s="45"/>
      <c r="S15" s="45"/>
      <c r="T15" s="45"/>
      <c r="U15" s="39"/>
    </row>
    <row r="16" spans="1:25" s="44" customFormat="1" ht="16.5" thickBot="1" x14ac:dyDescent="0.4">
      <c r="B16" s="45" t="s">
        <v>44</v>
      </c>
      <c r="C16" s="45"/>
      <c r="D16" s="62">
        <f t="shared" ref="D16:T16" si="14">SUM(D11:D14)</f>
        <v>22060000</v>
      </c>
      <c r="E16" s="62">
        <f t="shared" si="14"/>
        <v>22060000</v>
      </c>
      <c r="F16" s="62">
        <f t="shared" si="14"/>
        <v>130180000</v>
      </c>
      <c r="G16" s="62">
        <f t="shared" si="14"/>
        <v>22060000</v>
      </c>
      <c r="H16" s="62">
        <f t="shared" si="14"/>
        <v>22060000</v>
      </c>
      <c r="I16" s="62">
        <f t="shared" si="14"/>
        <v>130180000</v>
      </c>
      <c r="J16" s="62">
        <f t="shared" si="14"/>
        <v>22060000</v>
      </c>
      <c r="K16" s="62">
        <f t="shared" si="14"/>
        <v>22060000</v>
      </c>
      <c r="L16" s="62">
        <f t="shared" si="14"/>
        <v>130180000</v>
      </c>
      <c r="M16" s="62">
        <f t="shared" si="14"/>
        <v>22060000</v>
      </c>
      <c r="N16" s="62">
        <f t="shared" si="14"/>
        <v>22060000</v>
      </c>
      <c r="O16" s="62">
        <f t="shared" si="14"/>
        <v>130180000</v>
      </c>
      <c r="P16" s="62">
        <f>SUM(P11:P15)</f>
        <v>697200000</v>
      </c>
      <c r="Q16" s="51">
        <f t="shared" si="14"/>
        <v>766064000</v>
      </c>
      <c r="R16" s="51">
        <f t="shared" si="14"/>
        <v>1022632320.0000001</v>
      </c>
      <c r="S16" s="51">
        <f t="shared" si="14"/>
        <v>1394360601.5999997</v>
      </c>
      <c r="T16" s="51">
        <f t="shared" si="14"/>
        <v>1873706308.6079993</v>
      </c>
      <c r="U16" s="39"/>
      <c r="V16" s="40"/>
      <c r="W16" s="40"/>
      <c r="X16" s="40"/>
      <c r="Y16" s="40"/>
    </row>
    <row r="17" spans="2:21" x14ac:dyDescent="0.35"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>
        <f>P16/P8</f>
        <v>0.54468749999999999</v>
      </c>
      <c r="Q17" s="50"/>
      <c r="R17" s="50"/>
      <c r="S17" s="50"/>
      <c r="T17" s="50"/>
      <c r="U17" s="39"/>
    </row>
    <row r="18" spans="2:21" ht="16.5" thickBot="1" x14ac:dyDescent="0.4">
      <c r="B18" s="45" t="s">
        <v>10</v>
      </c>
      <c r="C18" s="53"/>
      <c r="D18" s="62">
        <f t="shared" ref="D18:T18" si="15">D8-D16</f>
        <v>13940000</v>
      </c>
      <c r="E18" s="62">
        <f t="shared" si="15"/>
        <v>13940000</v>
      </c>
      <c r="F18" s="62">
        <f t="shared" si="15"/>
        <v>117820000</v>
      </c>
      <c r="G18" s="62">
        <f t="shared" si="15"/>
        <v>13940000</v>
      </c>
      <c r="H18" s="62">
        <f t="shared" si="15"/>
        <v>13940000</v>
      </c>
      <c r="I18" s="62">
        <f t="shared" si="15"/>
        <v>117820000</v>
      </c>
      <c r="J18" s="62">
        <f t="shared" si="15"/>
        <v>13940000</v>
      </c>
      <c r="K18" s="62">
        <f t="shared" si="15"/>
        <v>13940000</v>
      </c>
      <c r="L18" s="62">
        <f t="shared" si="15"/>
        <v>117820000</v>
      </c>
      <c r="M18" s="62">
        <f t="shared" si="15"/>
        <v>13940000</v>
      </c>
      <c r="N18" s="62">
        <f t="shared" si="15"/>
        <v>13940000</v>
      </c>
      <c r="O18" s="62">
        <f t="shared" si="15"/>
        <v>117820000</v>
      </c>
      <c r="P18" s="62">
        <f>P8-P16</f>
        <v>582800000</v>
      </c>
      <c r="Q18" s="54">
        <f t="shared" si="15"/>
        <v>1000336000</v>
      </c>
      <c r="R18" s="54">
        <f t="shared" si="15"/>
        <v>1414999679.9999995</v>
      </c>
      <c r="S18" s="54">
        <f t="shared" si="15"/>
        <v>1969571558.3999989</v>
      </c>
      <c r="T18" s="54">
        <f t="shared" si="15"/>
        <v>2768520072.191998</v>
      </c>
      <c r="U18" s="39"/>
    </row>
    <row r="19" spans="2:21" x14ac:dyDescent="0.35"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106">
        <f>P18/P8</f>
        <v>0.45531250000000001</v>
      </c>
      <c r="Q19" s="50"/>
      <c r="R19" s="50"/>
      <c r="S19" s="50"/>
      <c r="T19" s="50"/>
      <c r="U19" s="39"/>
    </row>
    <row r="20" spans="2:21" ht="16.5" thickBot="1" x14ac:dyDescent="0.4">
      <c r="B20" s="45" t="s">
        <v>5</v>
      </c>
      <c r="C20" s="52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52"/>
      <c r="R20" s="52"/>
      <c r="S20" s="52"/>
      <c r="T20" s="52"/>
      <c r="U20" s="39"/>
    </row>
    <row r="21" spans="2:21" x14ac:dyDescent="0.4">
      <c r="B21" s="55" t="s">
        <v>70</v>
      </c>
      <c r="D21" s="59">
        <f>'Assumption-(MedSupplies)'!V111</f>
        <v>0</v>
      </c>
      <c r="E21" s="59">
        <f>D21</f>
        <v>0</v>
      </c>
      <c r="F21" s="59">
        <f t="shared" ref="F21:O23" si="16">E21</f>
        <v>0</v>
      </c>
      <c r="G21" s="59">
        <f t="shared" si="16"/>
        <v>0</v>
      </c>
      <c r="H21" s="59">
        <f t="shared" si="16"/>
        <v>0</v>
      </c>
      <c r="I21" s="59">
        <f t="shared" si="16"/>
        <v>0</v>
      </c>
      <c r="J21" s="59">
        <f t="shared" si="16"/>
        <v>0</v>
      </c>
      <c r="K21" s="59">
        <f t="shared" si="16"/>
        <v>0</v>
      </c>
      <c r="L21" s="59">
        <f t="shared" si="16"/>
        <v>0</v>
      </c>
      <c r="M21" s="59">
        <f t="shared" si="16"/>
        <v>0</v>
      </c>
      <c r="N21" s="59">
        <f t="shared" si="16"/>
        <v>0</v>
      </c>
      <c r="O21" s="59">
        <f t="shared" si="16"/>
        <v>0</v>
      </c>
      <c r="P21" s="60">
        <f>SUM(D21:O21)</f>
        <v>0</v>
      </c>
      <c r="Q21" s="50">
        <f>P21*(1+'Assumption-(MedSupplies)'!E$77)</f>
        <v>0</v>
      </c>
      <c r="R21" s="50">
        <f>Q21*(1+'Assumption-(MedSupplies)'!F$77)</f>
        <v>0</v>
      </c>
      <c r="S21" s="50">
        <f>R21*(1+'Assumption-(MedSupplies)'!G$77)</f>
        <v>0</v>
      </c>
      <c r="T21" s="50">
        <f>S21*(1+'Assumption-(MedSupplies)'!H$77)</f>
        <v>0</v>
      </c>
      <c r="U21" s="39"/>
    </row>
    <row r="22" spans="2:21" x14ac:dyDescent="0.4">
      <c r="B22" s="55" t="s">
        <v>30</v>
      </c>
      <c r="C22" s="63"/>
      <c r="D22" s="59">
        <f>'Assumption-(MedSupplies)'!D78</f>
        <v>547083.33333333337</v>
      </c>
      <c r="E22" s="59">
        <f>D22</f>
        <v>547083.33333333337</v>
      </c>
      <c r="F22" s="59">
        <f t="shared" si="16"/>
        <v>547083.33333333337</v>
      </c>
      <c r="G22" s="59">
        <f t="shared" si="16"/>
        <v>547083.33333333337</v>
      </c>
      <c r="H22" s="59">
        <f t="shared" si="16"/>
        <v>547083.33333333337</v>
      </c>
      <c r="I22" s="59">
        <f t="shared" si="16"/>
        <v>547083.33333333337</v>
      </c>
      <c r="J22" s="59">
        <f t="shared" si="16"/>
        <v>547083.33333333337</v>
      </c>
      <c r="K22" s="59">
        <f t="shared" si="16"/>
        <v>547083.33333333337</v>
      </c>
      <c r="L22" s="59">
        <f t="shared" si="16"/>
        <v>547083.33333333337</v>
      </c>
      <c r="M22" s="59">
        <f t="shared" si="16"/>
        <v>547083.33333333337</v>
      </c>
      <c r="N22" s="59">
        <f t="shared" si="16"/>
        <v>547083.33333333337</v>
      </c>
      <c r="O22" s="59">
        <f t="shared" si="16"/>
        <v>547083.33333333337</v>
      </c>
      <c r="P22" s="60">
        <f t="shared" ref="P22:P35" si="17">SUM(D22:O22)</f>
        <v>6564999.9999999991</v>
      </c>
      <c r="Q22" s="50">
        <f>P22*(1+'Assumption-(MedSupplies)'!E$67)</f>
        <v>7549749.9999999981</v>
      </c>
      <c r="R22" s="50">
        <f>Q22*(1+'Assumption-(MedSupplies)'!F$67)</f>
        <v>8682212.4999999963</v>
      </c>
      <c r="S22" s="50">
        <f>R22*(1+'Assumption-(MedSupplies)'!G$67)</f>
        <v>9984544.3749999944</v>
      </c>
      <c r="T22" s="50">
        <f>S22*(1+'Assumption-(MedSupplies)'!H$67)</f>
        <v>11482226.031249993</v>
      </c>
      <c r="U22" s="39"/>
    </row>
    <row r="23" spans="2:21" x14ac:dyDescent="0.4">
      <c r="B23" s="55" t="s">
        <v>29</v>
      </c>
      <c r="C23" s="65"/>
      <c r="D23" s="59">
        <f>'Assumption-(MedSupplies)'!D79</f>
        <v>27354.166666666668</v>
      </c>
      <c r="E23" s="59">
        <f>D23</f>
        <v>27354.166666666668</v>
      </c>
      <c r="F23" s="59">
        <f t="shared" si="16"/>
        <v>27354.166666666668</v>
      </c>
      <c r="G23" s="59">
        <f t="shared" si="16"/>
        <v>27354.166666666668</v>
      </c>
      <c r="H23" s="59">
        <f t="shared" si="16"/>
        <v>27354.166666666668</v>
      </c>
      <c r="I23" s="59">
        <f t="shared" si="16"/>
        <v>27354.166666666668</v>
      </c>
      <c r="J23" s="59">
        <f t="shared" si="16"/>
        <v>27354.166666666668</v>
      </c>
      <c r="K23" s="59">
        <f t="shared" si="16"/>
        <v>27354.166666666668</v>
      </c>
      <c r="L23" s="59">
        <f t="shared" si="16"/>
        <v>27354.166666666668</v>
      </c>
      <c r="M23" s="59">
        <f t="shared" si="16"/>
        <v>27354.166666666668</v>
      </c>
      <c r="N23" s="59">
        <f t="shared" si="16"/>
        <v>27354.166666666668</v>
      </c>
      <c r="O23" s="59">
        <f t="shared" si="16"/>
        <v>27354.166666666668</v>
      </c>
      <c r="P23" s="60">
        <f t="shared" si="17"/>
        <v>328250</v>
      </c>
      <c r="Q23" s="50">
        <f>P23*(1+'Assumption-(MedSupplies)'!E$67)</f>
        <v>377487.49999999994</v>
      </c>
      <c r="R23" s="50">
        <f>Q23*(1+'Assumption-(MedSupplies)'!F$67)</f>
        <v>434110.62499999988</v>
      </c>
      <c r="S23" s="50">
        <f>R23*(1+'Assumption-(MedSupplies)'!G$67)</f>
        <v>499227.21874999983</v>
      </c>
      <c r="T23" s="50">
        <f>S23*(1+'Assumption-(MedSupplies)'!H$67)</f>
        <v>574111.30156249972</v>
      </c>
      <c r="U23" s="39"/>
    </row>
    <row r="24" spans="2:21" x14ac:dyDescent="0.4">
      <c r="B24" s="55" t="s">
        <v>66</v>
      </c>
      <c r="D24" s="59">
        <f>'Assumption-(MedSupplies)'!$D$80</f>
        <v>150000</v>
      </c>
      <c r="E24" s="59">
        <f t="shared" ref="E24:O25" si="18">D24</f>
        <v>150000</v>
      </c>
      <c r="F24" s="59">
        <f t="shared" si="18"/>
        <v>150000</v>
      </c>
      <c r="G24" s="59">
        <f t="shared" si="18"/>
        <v>150000</v>
      </c>
      <c r="H24" s="59">
        <f t="shared" si="18"/>
        <v>150000</v>
      </c>
      <c r="I24" s="59">
        <f t="shared" si="18"/>
        <v>150000</v>
      </c>
      <c r="J24" s="59">
        <f t="shared" si="18"/>
        <v>150000</v>
      </c>
      <c r="K24" s="59">
        <f t="shared" si="18"/>
        <v>150000</v>
      </c>
      <c r="L24" s="59">
        <f t="shared" si="18"/>
        <v>150000</v>
      </c>
      <c r="M24" s="59">
        <f t="shared" si="18"/>
        <v>150000</v>
      </c>
      <c r="N24" s="59">
        <f t="shared" si="18"/>
        <v>150000</v>
      </c>
      <c r="O24" s="59">
        <f t="shared" si="18"/>
        <v>150000</v>
      </c>
      <c r="P24" s="60">
        <f t="shared" si="17"/>
        <v>1800000</v>
      </c>
      <c r="Q24" s="50">
        <f>P24*(1+'Assumption-(MedSupplies)'!E$67)</f>
        <v>2069999.9999999998</v>
      </c>
      <c r="R24" s="50">
        <f>Q24*(1+'Assumption-(MedSupplies)'!F$67)</f>
        <v>2380499.9999999995</v>
      </c>
      <c r="S24" s="50">
        <f>R24*(1+'Assumption-(MedSupplies)'!G$67)</f>
        <v>2737574.9999999991</v>
      </c>
      <c r="T24" s="50">
        <f>S24*(1+'Assumption-(MedSupplies)'!H$67)</f>
        <v>3148211.2499999986</v>
      </c>
      <c r="U24" s="39"/>
    </row>
    <row r="25" spans="2:21" x14ac:dyDescent="0.4">
      <c r="B25" s="55" t="s">
        <v>59</v>
      </c>
      <c r="D25" s="59">
        <f>'Assumption-(MedSupplies)'!D81</f>
        <v>416667</v>
      </c>
      <c r="E25" s="59">
        <f t="shared" si="18"/>
        <v>416667</v>
      </c>
      <c r="F25" s="59">
        <f t="shared" si="18"/>
        <v>416667</v>
      </c>
      <c r="G25" s="59">
        <f t="shared" si="18"/>
        <v>416667</v>
      </c>
      <c r="H25" s="59">
        <f t="shared" si="18"/>
        <v>416667</v>
      </c>
      <c r="I25" s="59">
        <f t="shared" si="18"/>
        <v>416667</v>
      </c>
      <c r="J25" s="59">
        <f t="shared" si="18"/>
        <v>416667</v>
      </c>
      <c r="K25" s="59">
        <f t="shared" si="18"/>
        <v>416667</v>
      </c>
      <c r="L25" s="59">
        <f t="shared" si="18"/>
        <v>416667</v>
      </c>
      <c r="M25" s="59">
        <f t="shared" si="18"/>
        <v>416667</v>
      </c>
      <c r="N25" s="59">
        <f t="shared" si="18"/>
        <v>416667</v>
      </c>
      <c r="O25" s="59">
        <f t="shared" si="18"/>
        <v>416667</v>
      </c>
      <c r="P25" s="60">
        <f t="shared" ref="P25" si="19">SUM(D25:O25)</f>
        <v>5000004</v>
      </c>
      <c r="Q25" s="50">
        <f>P25*(1+'Assumption-(MedSupplies)'!E$67)</f>
        <v>5750004.5999999996</v>
      </c>
      <c r="R25" s="50">
        <f>Q25*(1+'Assumption-(MedSupplies)'!F$67)</f>
        <v>6612505.2899999991</v>
      </c>
      <c r="S25" s="50">
        <f>R25*(1+'Assumption-(MedSupplies)'!G$67)</f>
        <v>7604381.0834999988</v>
      </c>
      <c r="T25" s="50">
        <f>S25*(1+'Assumption-(MedSupplies)'!H$67)</f>
        <v>8745038.2460249979</v>
      </c>
      <c r="U25" s="39"/>
    </row>
    <row r="26" spans="2:21" x14ac:dyDescent="0.4">
      <c r="B26" s="55" t="s">
        <v>27</v>
      </c>
      <c r="D26" s="59">
        <f>'Assumption-(MedSupplies)'!$D82</f>
        <v>50000</v>
      </c>
      <c r="E26" s="59">
        <f t="shared" ref="E26:O26" si="20">D26</f>
        <v>50000</v>
      </c>
      <c r="F26" s="59">
        <f t="shared" si="20"/>
        <v>50000</v>
      </c>
      <c r="G26" s="59">
        <f t="shared" si="20"/>
        <v>50000</v>
      </c>
      <c r="H26" s="59">
        <f t="shared" si="20"/>
        <v>50000</v>
      </c>
      <c r="I26" s="59">
        <f t="shared" si="20"/>
        <v>50000</v>
      </c>
      <c r="J26" s="59">
        <f t="shared" si="20"/>
        <v>50000</v>
      </c>
      <c r="K26" s="59">
        <f t="shared" si="20"/>
        <v>50000</v>
      </c>
      <c r="L26" s="59">
        <f t="shared" si="20"/>
        <v>50000</v>
      </c>
      <c r="M26" s="59">
        <f t="shared" si="20"/>
        <v>50000</v>
      </c>
      <c r="N26" s="59">
        <f t="shared" si="20"/>
        <v>50000</v>
      </c>
      <c r="O26" s="59">
        <f t="shared" si="20"/>
        <v>50000</v>
      </c>
      <c r="P26" s="60">
        <f t="shared" si="17"/>
        <v>600000</v>
      </c>
      <c r="Q26" s="50">
        <f>P26*(1+'Assumption-(MedSupplies)'!E$67)</f>
        <v>690000</v>
      </c>
      <c r="R26" s="50">
        <f>Q26*(1+'Assumption-(MedSupplies)'!F$67)</f>
        <v>793499.99999999988</v>
      </c>
      <c r="S26" s="50">
        <f>R26*(1+'Assumption-(MedSupplies)'!G$67)</f>
        <v>912524.99999999977</v>
      </c>
      <c r="T26" s="50">
        <f>S26*(1+'Assumption-(MedSupplies)'!H$67)</f>
        <v>1049403.7499999998</v>
      </c>
      <c r="U26" s="39"/>
    </row>
    <row r="27" spans="2:21" x14ac:dyDescent="0.4">
      <c r="B27" s="55" t="s">
        <v>104</v>
      </c>
      <c r="D27" s="59">
        <f>'Assumption-(MedSupplies)'!$D83</f>
        <v>100000</v>
      </c>
      <c r="E27" s="59">
        <f t="shared" ref="E27" si="21">D27</f>
        <v>100000</v>
      </c>
      <c r="F27" s="59">
        <f t="shared" ref="F27" si="22">E27</f>
        <v>100000</v>
      </c>
      <c r="G27" s="59">
        <f t="shared" ref="G27" si="23">F27</f>
        <v>100000</v>
      </c>
      <c r="H27" s="59">
        <f t="shared" ref="H27" si="24">G27</f>
        <v>100000</v>
      </c>
      <c r="I27" s="59">
        <f t="shared" ref="I27" si="25">H27</f>
        <v>100000</v>
      </c>
      <c r="J27" s="59">
        <f t="shared" ref="J27" si="26">I27</f>
        <v>100000</v>
      </c>
      <c r="K27" s="59">
        <f t="shared" ref="K27" si="27">J27</f>
        <v>100000</v>
      </c>
      <c r="L27" s="59">
        <f t="shared" ref="L27" si="28">K27</f>
        <v>100000</v>
      </c>
      <c r="M27" s="59">
        <f t="shared" ref="M27" si="29">L27</f>
        <v>100000</v>
      </c>
      <c r="N27" s="59">
        <f t="shared" ref="N27" si="30">M27</f>
        <v>100000</v>
      </c>
      <c r="O27" s="59">
        <f t="shared" ref="O27" si="31">N27</f>
        <v>100000</v>
      </c>
      <c r="P27" s="60">
        <f t="shared" ref="P27" si="32">SUM(D27:O27)</f>
        <v>1200000</v>
      </c>
      <c r="Q27" s="50">
        <f>P27*(1+'Assumption-(MedSupplies)'!E$67)</f>
        <v>1380000</v>
      </c>
      <c r="R27" s="50">
        <f>Q27*(1+'Assumption-(MedSupplies)'!F$67)</f>
        <v>1586999.9999999998</v>
      </c>
      <c r="S27" s="50">
        <f>R27*(1+'Assumption-(MedSupplies)'!G$67)</f>
        <v>1825049.9999999995</v>
      </c>
      <c r="T27" s="50">
        <f>S27*(1+'Assumption-(MedSupplies)'!H$67)</f>
        <v>2098807.4999999995</v>
      </c>
      <c r="U27" s="39"/>
    </row>
    <row r="28" spans="2:21" x14ac:dyDescent="0.4">
      <c r="B28" s="55" t="s">
        <v>26</v>
      </c>
      <c r="D28" s="59">
        <f>'Assumption-(MedSupplies)'!$D84</f>
        <v>0</v>
      </c>
      <c r="E28" s="59">
        <f t="shared" ref="E28:O28" si="33">D28</f>
        <v>0</v>
      </c>
      <c r="F28" s="59">
        <f t="shared" si="33"/>
        <v>0</v>
      </c>
      <c r="G28" s="59">
        <f t="shared" si="33"/>
        <v>0</v>
      </c>
      <c r="H28" s="59">
        <f t="shared" si="33"/>
        <v>0</v>
      </c>
      <c r="I28" s="59">
        <f t="shared" si="33"/>
        <v>0</v>
      </c>
      <c r="J28" s="59">
        <f t="shared" si="33"/>
        <v>0</v>
      </c>
      <c r="K28" s="59">
        <f t="shared" si="33"/>
        <v>0</v>
      </c>
      <c r="L28" s="59">
        <f t="shared" si="33"/>
        <v>0</v>
      </c>
      <c r="M28" s="59">
        <f t="shared" si="33"/>
        <v>0</v>
      </c>
      <c r="N28" s="59">
        <f t="shared" si="33"/>
        <v>0</v>
      </c>
      <c r="O28" s="59">
        <f t="shared" si="33"/>
        <v>0</v>
      </c>
      <c r="P28" s="60">
        <f t="shared" si="17"/>
        <v>0</v>
      </c>
      <c r="Q28" s="50">
        <f>P28*(1+'Assumption-(MedSupplies)'!E$67)</f>
        <v>0</v>
      </c>
      <c r="R28" s="50">
        <f>Q28*(1+'Assumption-(MedSupplies)'!F$67)</f>
        <v>0</v>
      </c>
      <c r="S28" s="50">
        <f>R28*(1+'Assumption-(MedSupplies)'!G$67)</f>
        <v>0</v>
      </c>
      <c r="T28" s="50">
        <f>S28*(1+'Assumption-(MedSupplies)'!H$67)</f>
        <v>0</v>
      </c>
      <c r="U28" s="39"/>
    </row>
    <row r="29" spans="2:21" x14ac:dyDescent="0.4">
      <c r="B29" s="55" t="s">
        <v>100</v>
      </c>
      <c r="D29" s="59">
        <f>'Assumption-(MedSupplies)'!$D85</f>
        <v>200000</v>
      </c>
      <c r="E29" s="59">
        <f t="shared" ref="E29:O29" si="34">D29</f>
        <v>200000</v>
      </c>
      <c r="F29" s="59">
        <f t="shared" si="34"/>
        <v>200000</v>
      </c>
      <c r="G29" s="59">
        <f t="shared" si="34"/>
        <v>200000</v>
      </c>
      <c r="H29" s="59">
        <f t="shared" si="34"/>
        <v>200000</v>
      </c>
      <c r="I29" s="59">
        <f t="shared" si="34"/>
        <v>200000</v>
      </c>
      <c r="J29" s="59">
        <f t="shared" si="34"/>
        <v>200000</v>
      </c>
      <c r="K29" s="59">
        <f t="shared" si="34"/>
        <v>200000</v>
      </c>
      <c r="L29" s="59">
        <f t="shared" si="34"/>
        <v>200000</v>
      </c>
      <c r="M29" s="59">
        <f t="shared" si="34"/>
        <v>200000</v>
      </c>
      <c r="N29" s="59">
        <f t="shared" si="34"/>
        <v>200000</v>
      </c>
      <c r="O29" s="59">
        <f t="shared" si="34"/>
        <v>200000</v>
      </c>
      <c r="P29" s="60">
        <f t="shared" si="17"/>
        <v>2400000</v>
      </c>
      <c r="Q29" s="50">
        <f>P29*(1+'Assumption-(MedSupplies)'!E$67)</f>
        <v>2760000</v>
      </c>
      <c r="R29" s="50">
        <f>Q29*(1+'Assumption-(MedSupplies)'!F$67)</f>
        <v>3173999.9999999995</v>
      </c>
      <c r="S29" s="50">
        <f>R29*(1+'Assumption-(MedSupplies)'!G$67)</f>
        <v>3650099.9999999991</v>
      </c>
      <c r="T29" s="50">
        <f>S29*(1+'Assumption-(MedSupplies)'!H$67)</f>
        <v>4197614.9999999991</v>
      </c>
      <c r="U29" s="39"/>
    </row>
    <row r="30" spans="2:21" x14ac:dyDescent="0.4">
      <c r="B30" s="55" t="s">
        <v>24</v>
      </c>
      <c r="D30" s="59">
        <f>'Assumption-(MedSupplies)'!$D86</f>
        <v>0</v>
      </c>
      <c r="E30" s="59">
        <f t="shared" ref="E30:O30" si="35">D30</f>
        <v>0</v>
      </c>
      <c r="F30" s="59">
        <f t="shared" si="35"/>
        <v>0</v>
      </c>
      <c r="G30" s="59">
        <f t="shared" si="35"/>
        <v>0</v>
      </c>
      <c r="H30" s="59">
        <f t="shared" si="35"/>
        <v>0</v>
      </c>
      <c r="I30" s="59">
        <f t="shared" si="35"/>
        <v>0</v>
      </c>
      <c r="J30" s="59">
        <f t="shared" si="35"/>
        <v>0</v>
      </c>
      <c r="K30" s="59">
        <f t="shared" si="35"/>
        <v>0</v>
      </c>
      <c r="L30" s="59">
        <f t="shared" si="35"/>
        <v>0</v>
      </c>
      <c r="M30" s="59">
        <f t="shared" si="35"/>
        <v>0</v>
      </c>
      <c r="N30" s="59">
        <f t="shared" si="35"/>
        <v>0</v>
      </c>
      <c r="O30" s="59">
        <f t="shared" si="35"/>
        <v>0</v>
      </c>
      <c r="P30" s="60">
        <f t="shared" si="17"/>
        <v>0</v>
      </c>
      <c r="Q30" s="50">
        <f>P30*(1+'Assumption-(MedSupplies)'!E$67)</f>
        <v>0</v>
      </c>
      <c r="R30" s="50">
        <f>Q30*(1+'Assumption-(MedSupplies)'!F$67)</f>
        <v>0</v>
      </c>
      <c r="S30" s="50">
        <f>R30*(1+'Assumption-(MedSupplies)'!G$67)</f>
        <v>0</v>
      </c>
      <c r="T30" s="50">
        <f>S30*(1+'Assumption-(MedSupplies)'!H$67)</f>
        <v>0</v>
      </c>
      <c r="U30" s="39"/>
    </row>
    <row r="31" spans="2:21" x14ac:dyDescent="0.4">
      <c r="B31" s="55" t="s">
        <v>101</v>
      </c>
      <c r="D31" s="59">
        <f>'Assumption-(MedSupplies)'!$D87</f>
        <v>600000</v>
      </c>
      <c r="E31" s="59">
        <f t="shared" ref="E31" si="36">D31</f>
        <v>600000</v>
      </c>
      <c r="F31" s="59">
        <f t="shared" ref="F31" si="37">E31</f>
        <v>600000</v>
      </c>
      <c r="G31" s="59">
        <f t="shared" ref="G31" si="38">F31</f>
        <v>600000</v>
      </c>
      <c r="H31" s="59">
        <f t="shared" ref="H31" si="39">G31</f>
        <v>600000</v>
      </c>
      <c r="I31" s="59">
        <f t="shared" ref="I31" si="40">H31</f>
        <v>600000</v>
      </c>
      <c r="J31" s="59">
        <f t="shared" ref="J31" si="41">I31</f>
        <v>600000</v>
      </c>
      <c r="K31" s="59">
        <f t="shared" ref="K31" si="42">J31</f>
        <v>600000</v>
      </c>
      <c r="L31" s="59">
        <f t="shared" ref="L31" si="43">K31</f>
        <v>600000</v>
      </c>
      <c r="M31" s="59">
        <f t="shared" ref="M31" si="44">L31</f>
        <v>600000</v>
      </c>
      <c r="N31" s="59">
        <f t="shared" ref="N31" si="45">M31</f>
        <v>600000</v>
      </c>
      <c r="O31" s="59">
        <f t="shared" ref="O31" si="46">N31</f>
        <v>600000</v>
      </c>
      <c r="P31" s="60">
        <f t="shared" ref="P31" si="47">SUM(D31:O31)</f>
        <v>7200000</v>
      </c>
      <c r="Q31" s="50">
        <f>P31*(1+'Assumption-(MedSupplies)'!E$67)</f>
        <v>8279999.9999999991</v>
      </c>
      <c r="R31" s="50">
        <f>Q31*(1+'Assumption-(MedSupplies)'!F$67)</f>
        <v>9521999.9999999981</v>
      </c>
      <c r="S31" s="50">
        <f>R31*(1+'Assumption-(MedSupplies)'!G$67)</f>
        <v>10950299.999999996</v>
      </c>
      <c r="T31" s="50">
        <f>S31*(1+'Assumption-(MedSupplies)'!H$67)</f>
        <v>12592844.999999994</v>
      </c>
      <c r="U31" s="39"/>
    </row>
    <row r="32" spans="2:21" x14ac:dyDescent="0.4">
      <c r="B32" s="55" t="s">
        <v>23</v>
      </c>
      <c r="D32" s="59">
        <f>'Assumption-(MedSupplies)'!$D88</f>
        <v>0</v>
      </c>
      <c r="E32" s="59">
        <f t="shared" ref="E32:O32" si="48">D32</f>
        <v>0</v>
      </c>
      <c r="F32" s="59">
        <f t="shared" si="48"/>
        <v>0</v>
      </c>
      <c r="G32" s="59">
        <f t="shared" si="48"/>
        <v>0</v>
      </c>
      <c r="H32" s="59">
        <f t="shared" si="48"/>
        <v>0</v>
      </c>
      <c r="I32" s="59">
        <f t="shared" si="48"/>
        <v>0</v>
      </c>
      <c r="J32" s="59">
        <f t="shared" si="48"/>
        <v>0</v>
      </c>
      <c r="K32" s="59">
        <f t="shared" si="48"/>
        <v>0</v>
      </c>
      <c r="L32" s="59">
        <f t="shared" si="48"/>
        <v>0</v>
      </c>
      <c r="M32" s="59">
        <f t="shared" si="48"/>
        <v>0</v>
      </c>
      <c r="N32" s="59">
        <f t="shared" si="48"/>
        <v>0</v>
      </c>
      <c r="O32" s="59">
        <f t="shared" si="48"/>
        <v>0</v>
      </c>
      <c r="P32" s="60">
        <f t="shared" si="17"/>
        <v>0</v>
      </c>
      <c r="Q32" s="50">
        <f>P32*(1+'Assumption-(MedSupplies)'!E$67)</f>
        <v>0</v>
      </c>
      <c r="R32" s="50">
        <f>Q32*(1+'Assumption-(MedSupplies)'!F$67)</f>
        <v>0</v>
      </c>
      <c r="S32" s="50">
        <f>R32*(1+'Assumption-(MedSupplies)'!G$67)</f>
        <v>0</v>
      </c>
      <c r="T32" s="50">
        <f>S32*(1+'Assumption-(MedSupplies)'!H$67)</f>
        <v>0</v>
      </c>
      <c r="U32" s="39"/>
    </row>
    <row r="33" spans="2:21" x14ac:dyDescent="0.4">
      <c r="B33" s="55" t="s">
        <v>71</v>
      </c>
      <c r="D33" s="59">
        <f>'Assumption-(MedSupplies)'!$D89</f>
        <v>250000</v>
      </c>
      <c r="E33" s="59">
        <f t="shared" ref="E33:O34" si="49">D33</f>
        <v>250000</v>
      </c>
      <c r="F33" s="59">
        <f t="shared" si="49"/>
        <v>250000</v>
      </c>
      <c r="G33" s="59">
        <f t="shared" si="49"/>
        <v>250000</v>
      </c>
      <c r="H33" s="59">
        <f t="shared" si="49"/>
        <v>250000</v>
      </c>
      <c r="I33" s="59">
        <f t="shared" si="49"/>
        <v>250000</v>
      </c>
      <c r="J33" s="59">
        <f t="shared" si="49"/>
        <v>250000</v>
      </c>
      <c r="K33" s="59">
        <f t="shared" si="49"/>
        <v>250000</v>
      </c>
      <c r="L33" s="59">
        <f t="shared" si="49"/>
        <v>250000</v>
      </c>
      <c r="M33" s="59">
        <f t="shared" si="49"/>
        <v>250000</v>
      </c>
      <c r="N33" s="59">
        <f t="shared" si="49"/>
        <v>250000</v>
      </c>
      <c r="O33" s="59">
        <f t="shared" si="49"/>
        <v>250000</v>
      </c>
      <c r="P33" s="60">
        <f t="shared" si="17"/>
        <v>3000000</v>
      </c>
      <c r="Q33" s="50">
        <f>P33*(1+'Assumption-(MedSupplies)'!E$67)</f>
        <v>3449999.9999999995</v>
      </c>
      <c r="R33" s="50">
        <f>Q33*(1+'Assumption-(MedSupplies)'!F$67)</f>
        <v>3967499.9999999991</v>
      </c>
      <c r="S33" s="50">
        <f>R33*(1+'Assumption-(MedSupplies)'!G$67)</f>
        <v>4562624.9999999981</v>
      </c>
      <c r="T33" s="50">
        <f>S33*(1+'Assumption-(MedSupplies)'!H$67)</f>
        <v>5247018.7499999972</v>
      </c>
      <c r="U33" s="39"/>
    </row>
    <row r="34" spans="2:21" x14ac:dyDescent="0.35">
      <c r="B34" s="34" t="s">
        <v>73</v>
      </c>
      <c r="D34" s="59">
        <f>'Assumption-(MedSupplies)'!$D90</f>
        <v>100000</v>
      </c>
      <c r="E34" s="59">
        <f t="shared" si="49"/>
        <v>100000</v>
      </c>
      <c r="F34" s="59">
        <f t="shared" si="49"/>
        <v>100000</v>
      </c>
      <c r="G34" s="59">
        <f t="shared" si="49"/>
        <v>100000</v>
      </c>
      <c r="H34" s="59">
        <f t="shared" si="49"/>
        <v>100000</v>
      </c>
      <c r="I34" s="59">
        <f t="shared" si="49"/>
        <v>100000</v>
      </c>
      <c r="J34" s="59">
        <f t="shared" si="49"/>
        <v>100000</v>
      </c>
      <c r="K34" s="59">
        <f t="shared" si="49"/>
        <v>100000</v>
      </c>
      <c r="L34" s="59">
        <f t="shared" si="49"/>
        <v>100000</v>
      </c>
      <c r="M34" s="59">
        <f t="shared" si="49"/>
        <v>100000</v>
      </c>
      <c r="N34" s="59">
        <f t="shared" si="49"/>
        <v>100000</v>
      </c>
      <c r="O34" s="59">
        <f t="shared" si="49"/>
        <v>100000</v>
      </c>
      <c r="P34" s="60">
        <f t="shared" ref="P34" si="50">SUM(D34:O34)</f>
        <v>1200000</v>
      </c>
      <c r="Q34" s="50">
        <f>P34*(1+'Assumption-(MedSupplies)'!E$67)</f>
        <v>1380000</v>
      </c>
      <c r="R34" s="50">
        <f>Q34*(1+'Assumption-(MedSupplies)'!F$67)</f>
        <v>1586999.9999999998</v>
      </c>
      <c r="S34" s="50">
        <f>R34*(1+'Assumption-(MedSupplies)'!G$67)</f>
        <v>1825049.9999999995</v>
      </c>
      <c r="T34" s="50">
        <f>S34*(1+'Assumption-(MedSupplies)'!H$67)</f>
        <v>2098807.4999999995</v>
      </c>
      <c r="U34" s="39"/>
    </row>
    <row r="35" spans="2:21" x14ac:dyDescent="0.35">
      <c r="B35" s="34" t="s">
        <v>92</v>
      </c>
      <c r="D35" s="59">
        <f>'Assumption-(MedSupplies)'!D92</f>
        <v>1500000</v>
      </c>
      <c r="E35" s="59">
        <f t="shared" ref="E35:O35" si="51">D35</f>
        <v>1500000</v>
      </c>
      <c r="F35" s="59">
        <f t="shared" si="51"/>
        <v>1500000</v>
      </c>
      <c r="G35" s="59">
        <f t="shared" si="51"/>
        <v>1500000</v>
      </c>
      <c r="H35" s="59">
        <f t="shared" si="51"/>
        <v>1500000</v>
      </c>
      <c r="I35" s="59">
        <f t="shared" si="51"/>
        <v>1500000</v>
      </c>
      <c r="J35" s="59">
        <f t="shared" si="51"/>
        <v>1500000</v>
      </c>
      <c r="K35" s="59">
        <f t="shared" si="51"/>
        <v>1500000</v>
      </c>
      <c r="L35" s="59">
        <f t="shared" si="51"/>
        <v>1500000</v>
      </c>
      <c r="M35" s="59">
        <f t="shared" si="51"/>
        <v>1500000</v>
      </c>
      <c r="N35" s="59">
        <f t="shared" si="51"/>
        <v>1500000</v>
      </c>
      <c r="O35" s="59">
        <f t="shared" si="51"/>
        <v>1500000</v>
      </c>
      <c r="P35" s="60">
        <f t="shared" si="17"/>
        <v>18000000</v>
      </c>
      <c r="Q35" s="50">
        <f>P35*(1+'Assumption-(MedSupplies)'!E$67)</f>
        <v>20700000</v>
      </c>
      <c r="R35" s="50">
        <f>Q35*(1+'Assumption-(MedSupplies)'!F$67)</f>
        <v>23805000</v>
      </c>
      <c r="S35" s="50">
        <f>R35*(1+'Assumption-(MedSupplies)'!G$67)</f>
        <v>27375749.999999996</v>
      </c>
      <c r="T35" s="50">
        <f>S35*(1+'Assumption-(MedSupplies)'!H$67)</f>
        <v>31482112.499999993</v>
      </c>
      <c r="U35" s="39"/>
    </row>
    <row r="36" spans="2:21" ht="16.5" thickBot="1" x14ac:dyDescent="0.4">
      <c r="B36" s="56"/>
      <c r="C36" s="52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52"/>
      <c r="R36" s="52"/>
      <c r="S36" s="52"/>
      <c r="T36" s="52"/>
      <c r="U36" s="39"/>
    </row>
    <row r="37" spans="2:21" ht="16.5" thickBot="1" x14ac:dyDescent="0.4">
      <c r="B37" s="57" t="s">
        <v>38</v>
      </c>
      <c r="C37" s="52"/>
      <c r="D37" s="61">
        <f>SUM(D21:D35)</f>
        <v>3941104.5</v>
      </c>
      <c r="E37" s="61">
        <f t="shared" ref="E37:O37" si="52">SUM(E21:E35)</f>
        <v>3941104.5</v>
      </c>
      <c r="F37" s="61">
        <f>SUM(F21:F35)</f>
        <v>3941104.5</v>
      </c>
      <c r="G37" s="61">
        <f t="shared" si="52"/>
        <v>3941104.5</v>
      </c>
      <c r="H37" s="61">
        <f t="shared" si="52"/>
        <v>3941104.5</v>
      </c>
      <c r="I37" s="61">
        <f t="shared" si="52"/>
        <v>3941104.5</v>
      </c>
      <c r="J37" s="61">
        <f t="shared" si="52"/>
        <v>3941104.5</v>
      </c>
      <c r="K37" s="61">
        <f t="shared" si="52"/>
        <v>3941104.5</v>
      </c>
      <c r="L37" s="61">
        <f t="shared" si="52"/>
        <v>3941104.5</v>
      </c>
      <c r="M37" s="61">
        <f t="shared" si="52"/>
        <v>3941104.5</v>
      </c>
      <c r="N37" s="61">
        <f t="shared" si="52"/>
        <v>3941104.5</v>
      </c>
      <c r="O37" s="61">
        <f t="shared" si="52"/>
        <v>3941104.5</v>
      </c>
      <c r="P37" s="61">
        <f>SUM(P21:P35)</f>
        <v>47293254</v>
      </c>
      <c r="Q37" s="52">
        <f>SUM(Q21:Q35)</f>
        <v>54387242.099999994</v>
      </c>
      <c r="R37" s="52">
        <f t="shared" ref="R37:T37" si="53">SUM(R21:R35)</f>
        <v>62545328.414999992</v>
      </c>
      <c r="S37" s="52">
        <f t="shared" si="53"/>
        <v>71927127.677249983</v>
      </c>
      <c r="T37" s="52">
        <f t="shared" si="53"/>
        <v>82716196.828837484</v>
      </c>
      <c r="U37" s="39"/>
    </row>
    <row r="38" spans="2:21" ht="16.5" thickBot="1" x14ac:dyDescent="0.4">
      <c r="B38" s="56"/>
      <c r="C38" s="52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105">
        <f>P37/P8</f>
        <v>3.6947854687499997E-2</v>
      </c>
      <c r="Q38" s="105">
        <f t="shared" ref="Q38:T38" si="54">Q37/Q8</f>
        <v>3.0789878906249998E-2</v>
      </c>
      <c r="R38" s="105">
        <f t="shared" si="54"/>
        <v>2.5658232421875003E-2</v>
      </c>
      <c r="S38" s="105">
        <f t="shared" si="54"/>
        <v>2.1381860351562504E-2</v>
      </c>
      <c r="T38" s="105">
        <f t="shared" si="54"/>
        <v>1.7818216959635425E-2</v>
      </c>
      <c r="U38" s="39"/>
    </row>
    <row r="39" spans="2:21" ht="16.5" thickBot="1" x14ac:dyDescent="0.4">
      <c r="B39" s="57" t="s">
        <v>6</v>
      </c>
      <c r="C39" s="52"/>
      <c r="D39" s="61">
        <f t="shared" ref="D39:T39" si="55">D18-D37</f>
        <v>9998895.5</v>
      </c>
      <c r="E39" s="61">
        <f t="shared" si="55"/>
        <v>9998895.5</v>
      </c>
      <c r="F39" s="61">
        <f t="shared" si="55"/>
        <v>113878895.5</v>
      </c>
      <c r="G39" s="61">
        <f t="shared" si="55"/>
        <v>9998895.5</v>
      </c>
      <c r="H39" s="61">
        <f t="shared" si="55"/>
        <v>9998895.5</v>
      </c>
      <c r="I39" s="61">
        <f t="shared" si="55"/>
        <v>113878895.5</v>
      </c>
      <c r="J39" s="61">
        <f t="shared" si="55"/>
        <v>9998895.5</v>
      </c>
      <c r="K39" s="61">
        <f t="shared" si="55"/>
        <v>9998895.5</v>
      </c>
      <c r="L39" s="61">
        <f t="shared" si="55"/>
        <v>113878895.5</v>
      </c>
      <c r="M39" s="61">
        <f t="shared" si="55"/>
        <v>9998895.5</v>
      </c>
      <c r="N39" s="61">
        <f t="shared" si="55"/>
        <v>9998895.5</v>
      </c>
      <c r="O39" s="61">
        <f t="shared" si="55"/>
        <v>113878895.5</v>
      </c>
      <c r="P39" s="61">
        <f t="shared" si="55"/>
        <v>535506746</v>
      </c>
      <c r="Q39" s="52">
        <f t="shared" si="55"/>
        <v>945948757.89999998</v>
      </c>
      <c r="R39" s="52">
        <f t="shared" si="55"/>
        <v>1352454351.5849996</v>
      </c>
      <c r="S39" s="52">
        <f t="shared" si="55"/>
        <v>1897644430.722749</v>
      </c>
      <c r="T39" s="52">
        <f t="shared" si="55"/>
        <v>2685803875.3631606</v>
      </c>
      <c r="U39" s="39"/>
    </row>
    <row r="40" spans="2:21" x14ac:dyDescent="0.35">
      <c r="B40" s="34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60"/>
      <c r="Q40" s="50"/>
      <c r="R40" s="50"/>
      <c r="S40" s="50"/>
      <c r="T40" s="50"/>
      <c r="U40" s="39"/>
    </row>
    <row r="41" spans="2:21" x14ac:dyDescent="0.35">
      <c r="B41" s="34" t="s">
        <v>72</v>
      </c>
      <c r="D41" s="59">
        <f>'Assumption-(MedSupplies)'!D90</f>
        <v>100000</v>
      </c>
      <c r="E41" s="59">
        <f t="shared" ref="E41:O41" si="56">D41</f>
        <v>100000</v>
      </c>
      <c r="F41" s="59">
        <f t="shared" si="56"/>
        <v>100000</v>
      </c>
      <c r="G41" s="59">
        <f t="shared" si="56"/>
        <v>100000</v>
      </c>
      <c r="H41" s="59">
        <f t="shared" si="56"/>
        <v>100000</v>
      </c>
      <c r="I41" s="59">
        <f t="shared" si="56"/>
        <v>100000</v>
      </c>
      <c r="J41" s="59">
        <f t="shared" si="56"/>
        <v>100000</v>
      </c>
      <c r="K41" s="59">
        <f t="shared" si="56"/>
        <v>100000</v>
      </c>
      <c r="L41" s="59">
        <f t="shared" si="56"/>
        <v>100000</v>
      </c>
      <c r="M41" s="59">
        <f t="shared" si="56"/>
        <v>100000</v>
      </c>
      <c r="N41" s="59">
        <f t="shared" si="56"/>
        <v>100000</v>
      </c>
      <c r="O41" s="59">
        <f t="shared" si="56"/>
        <v>100000</v>
      </c>
      <c r="P41" s="60">
        <f t="shared" ref="P41" si="57">SUM(D41:O41)</f>
        <v>1200000</v>
      </c>
      <c r="Q41" s="50">
        <f>P41*(1+'Assumption-(MedSupplies)'!E$67)</f>
        <v>1380000</v>
      </c>
      <c r="R41" s="50">
        <f>Q41*(1+'Assumption-(MedSupplies)'!F$67)</f>
        <v>1586999.9999999998</v>
      </c>
      <c r="S41" s="50">
        <f>R41*(1+'Assumption-(MedSupplies)'!G$67)</f>
        <v>1825049.9999999995</v>
      </c>
      <c r="T41" s="50">
        <f>S41*(1+'Assumption-(MedSupplies)'!H$67)</f>
        <v>2098807.4999999995</v>
      </c>
      <c r="U41" s="39"/>
    </row>
    <row r="42" spans="2:21" ht="16.5" thickBot="1" x14ac:dyDescent="0.4">
      <c r="B42" s="45"/>
      <c r="C42" s="53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2"/>
      <c r="Q42" s="54"/>
      <c r="R42" s="54"/>
      <c r="S42" s="54"/>
      <c r="T42" s="54"/>
      <c r="U42" s="39"/>
    </row>
    <row r="43" spans="2:21" ht="16.5" thickBot="1" x14ac:dyDescent="0.4">
      <c r="B43" s="45" t="s">
        <v>74</v>
      </c>
      <c r="C43" s="53"/>
      <c r="D43" s="61">
        <f>D39-D41</f>
        <v>9898895.5</v>
      </c>
      <c r="E43" s="61">
        <f t="shared" ref="E43:T43" si="58">E39-E41</f>
        <v>9898895.5</v>
      </c>
      <c r="F43" s="61">
        <f t="shared" si="58"/>
        <v>113778895.5</v>
      </c>
      <c r="G43" s="61">
        <f t="shared" si="58"/>
        <v>9898895.5</v>
      </c>
      <c r="H43" s="61">
        <f t="shared" si="58"/>
        <v>9898895.5</v>
      </c>
      <c r="I43" s="61">
        <f t="shared" si="58"/>
        <v>113778895.5</v>
      </c>
      <c r="J43" s="61">
        <f t="shared" si="58"/>
        <v>9898895.5</v>
      </c>
      <c r="K43" s="61">
        <f t="shared" si="58"/>
        <v>9898895.5</v>
      </c>
      <c r="L43" s="61">
        <f t="shared" si="58"/>
        <v>113778895.5</v>
      </c>
      <c r="M43" s="61">
        <f t="shared" si="58"/>
        <v>9898895.5</v>
      </c>
      <c r="N43" s="61">
        <f t="shared" si="58"/>
        <v>9898895.5</v>
      </c>
      <c r="O43" s="61">
        <f t="shared" si="58"/>
        <v>113778895.5</v>
      </c>
      <c r="P43" s="61">
        <f t="shared" si="58"/>
        <v>534306746</v>
      </c>
      <c r="Q43" s="61">
        <f t="shared" si="58"/>
        <v>944568757.89999998</v>
      </c>
      <c r="R43" s="61">
        <f t="shared" si="58"/>
        <v>1350867351.5849996</v>
      </c>
      <c r="S43" s="61">
        <f t="shared" si="58"/>
        <v>1895819380.722749</v>
      </c>
      <c r="T43" s="61">
        <f t="shared" si="58"/>
        <v>2683705067.8631606</v>
      </c>
      <c r="U43" s="39"/>
    </row>
    <row r="44" spans="2:21" ht="16.5" thickBot="1" x14ac:dyDescent="0.4">
      <c r="B44" s="45"/>
      <c r="C44" s="53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105">
        <f>P43/P8</f>
        <v>0.41742714531250003</v>
      </c>
      <c r="Q44" s="105">
        <f t="shared" ref="Q44:T44" si="59">Q43/Q8</f>
        <v>0.53474227689085141</v>
      </c>
      <c r="R44" s="105">
        <f t="shared" si="59"/>
        <v>0.55417197984970656</v>
      </c>
      <c r="S44" s="105">
        <f t="shared" si="59"/>
        <v>0.56357241779892187</v>
      </c>
      <c r="T44" s="105">
        <f t="shared" si="59"/>
        <v>0.57810732345213123</v>
      </c>
      <c r="U44" s="39"/>
    </row>
    <row r="45" spans="2:21" ht="16.5" hidden="1" thickBot="1" x14ac:dyDescent="0.4">
      <c r="B45" s="45" t="s">
        <v>40</v>
      </c>
      <c r="C45" s="53"/>
      <c r="D45" s="61">
        <f>D43</f>
        <v>9898895.5</v>
      </c>
      <c r="E45" s="61">
        <f>D45+E43</f>
        <v>19797791</v>
      </c>
      <c r="F45" s="61">
        <f t="shared" ref="F45:O45" si="60">E45+F43</f>
        <v>133576686.5</v>
      </c>
      <c r="G45" s="61">
        <f t="shared" si="60"/>
        <v>143475582</v>
      </c>
      <c r="H45" s="61">
        <f t="shared" si="60"/>
        <v>153374477.5</v>
      </c>
      <c r="I45" s="61">
        <f t="shared" si="60"/>
        <v>267153373</v>
      </c>
      <c r="J45" s="61">
        <f t="shared" si="60"/>
        <v>277052268.5</v>
      </c>
      <c r="K45" s="61">
        <f t="shared" si="60"/>
        <v>286951164</v>
      </c>
      <c r="L45" s="61">
        <f t="shared" si="60"/>
        <v>400730059.5</v>
      </c>
      <c r="M45" s="61">
        <f t="shared" si="60"/>
        <v>410628955</v>
      </c>
      <c r="N45" s="61">
        <f t="shared" si="60"/>
        <v>420527850.5</v>
      </c>
      <c r="O45" s="61">
        <f t="shared" si="60"/>
        <v>534306746</v>
      </c>
      <c r="P45" s="61">
        <f>P43</f>
        <v>534306746</v>
      </c>
      <c r="Q45" s="54">
        <f>P45+Q39</f>
        <v>1480255503.9000001</v>
      </c>
      <c r="R45" s="54">
        <f t="shared" ref="R45:T45" si="61">Q45+R39</f>
        <v>2832709855.4849997</v>
      </c>
      <c r="S45" s="54">
        <f t="shared" si="61"/>
        <v>4730354286.2077484</v>
      </c>
      <c r="T45" s="54">
        <f t="shared" si="61"/>
        <v>7416158161.5709095</v>
      </c>
      <c r="U45" s="39"/>
    </row>
    <row r="46" spans="2:21" ht="16.5" hidden="1" outlineLevel="1" thickBot="1" x14ac:dyDescent="0.4">
      <c r="B46" s="45"/>
      <c r="C46" s="53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2"/>
      <c r="Q46" s="54"/>
      <c r="R46" s="54"/>
      <c r="S46" s="54"/>
      <c r="T46" s="54"/>
      <c r="U46" s="39"/>
    </row>
    <row r="47" spans="2:21" ht="16.5" hidden="1" outlineLevel="1" thickBot="1" x14ac:dyDescent="0.4">
      <c r="B47" s="45" t="s">
        <v>41</v>
      </c>
      <c r="C47" s="53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2"/>
      <c r="Q47" s="54"/>
      <c r="R47" s="54"/>
      <c r="S47" s="54"/>
      <c r="T47" s="54"/>
      <c r="U47" s="39"/>
    </row>
    <row r="48" spans="2:21" ht="16.5" hidden="1" outlineLevel="1" thickBot="1" x14ac:dyDescent="0.4">
      <c r="B48" s="45"/>
      <c r="C48" s="53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2"/>
      <c r="Q48" s="54"/>
      <c r="R48" s="54"/>
      <c r="S48" s="54"/>
      <c r="T48" s="54"/>
      <c r="U48" s="39"/>
    </row>
    <row r="49" spans="2:21" ht="16.5" hidden="1" outlineLevel="1" thickBot="1" x14ac:dyDescent="0.4">
      <c r="B49" s="45" t="s">
        <v>42</v>
      </c>
      <c r="C49" s="53"/>
      <c r="D49" s="61">
        <f>D45-D47</f>
        <v>9898895.5</v>
      </c>
      <c r="E49" s="61">
        <f t="shared" ref="E49:O49" si="62">E45-E47</f>
        <v>19797791</v>
      </c>
      <c r="F49" s="61">
        <f t="shared" si="62"/>
        <v>133576686.5</v>
      </c>
      <c r="G49" s="61">
        <f t="shared" si="62"/>
        <v>143475582</v>
      </c>
      <c r="H49" s="61">
        <f t="shared" si="62"/>
        <v>153374477.5</v>
      </c>
      <c r="I49" s="61">
        <f t="shared" si="62"/>
        <v>267153373</v>
      </c>
      <c r="J49" s="61">
        <f t="shared" si="62"/>
        <v>277052268.5</v>
      </c>
      <c r="K49" s="61">
        <f t="shared" si="62"/>
        <v>286951164</v>
      </c>
      <c r="L49" s="61">
        <f t="shared" si="62"/>
        <v>400730059.5</v>
      </c>
      <c r="M49" s="61">
        <f t="shared" si="62"/>
        <v>410628955</v>
      </c>
      <c r="N49" s="61">
        <f t="shared" si="62"/>
        <v>420527850.5</v>
      </c>
      <c r="O49" s="61">
        <f t="shared" si="62"/>
        <v>534306746</v>
      </c>
      <c r="P49" s="62">
        <f>P45-P47</f>
        <v>534306746</v>
      </c>
      <c r="Q49" s="54">
        <f t="shared" ref="Q49:T49" si="63">Q45-Q47</f>
        <v>1480255503.9000001</v>
      </c>
      <c r="R49" s="54">
        <f t="shared" si="63"/>
        <v>2832709855.4849997</v>
      </c>
      <c r="S49" s="54">
        <f t="shared" si="63"/>
        <v>4730354286.2077484</v>
      </c>
      <c r="T49" s="54">
        <f t="shared" si="63"/>
        <v>7416158161.5709095</v>
      </c>
      <c r="U49" s="39"/>
    </row>
    <row r="50" spans="2:21" ht="16.5" hidden="1" outlineLevel="1" thickBot="1" x14ac:dyDescent="0.4">
      <c r="B50" s="45"/>
      <c r="C50" s="53"/>
      <c r="D50" s="46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4"/>
      <c r="Q50" s="54"/>
      <c r="R50" s="54"/>
      <c r="S50" s="54"/>
      <c r="T50" s="54"/>
      <c r="U50" s="39"/>
    </row>
    <row r="51" spans="2:21" ht="16.5" hidden="1" collapsed="1" thickBot="1" x14ac:dyDescent="0.4">
      <c r="B51" s="45" t="s">
        <v>43</v>
      </c>
      <c r="C51" s="53"/>
      <c r="D51" s="46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46" t="str">
        <f>IF(P49&gt;0,"1 Year"," ")</f>
        <v>1 Year</v>
      </c>
      <c r="Q51" s="46" t="str">
        <f>IF(Q49&gt;0,"2 Year"," ")</f>
        <v>2 Year</v>
      </c>
      <c r="R51" s="46" t="str">
        <f>IF(R49&gt;0,"3 Year"," ")</f>
        <v>3 Year</v>
      </c>
      <c r="S51" s="46" t="str">
        <f>IF(S49&gt;0,"4 Year"," ")</f>
        <v>4 Year</v>
      </c>
      <c r="T51" s="46" t="str">
        <f>IF(T49&gt;0,"5 Year"," ")</f>
        <v>5 Year</v>
      </c>
    </row>
    <row r="52" spans="2:21" x14ac:dyDescent="0.35"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58"/>
    </row>
    <row r="53" spans="2:21" x14ac:dyDescent="0.35"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58"/>
    </row>
    <row r="54" spans="2:21" x14ac:dyDescent="0.35"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58"/>
    </row>
  </sheetData>
  <pageMargins left="0.7" right="0.7" top="0.75" bottom="0.75" header="0.3" footer="0.3"/>
  <pageSetup scale="3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D666-4F0B-46A6-B746-FB8CA91C04D5}">
  <sheetPr>
    <outlinePr summaryRight="0"/>
  </sheetPr>
  <dimension ref="A2:Y44"/>
  <sheetViews>
    <sheetView showGridLines="0" view="pageBreakPreview" zoomScaleNormal="100" zoomScaleSheetLayoutView="100" workbookViewId="0">
      <pane xSplit="3" ySplit="4" topLeftCell="L9" activePane="bottomRight" state="frozen"/>
      <selection pane="topRight" activeCell="D1" sqref="D1"/>
      <selection pane="bottomLeft" activeCell="A5" sqref="A5"/>
      <selection pane="bottomRight" activeCell="Q21" sqref="Q21"/>
    </sheetView>
  </sheetViews>
  <sheetFormatPr defaultColWidth="9.1796875" defaultRowHeight="12" outlineLevelCol="1" x14ac:dyDescent="0.35"/>
  <cols>
    <col min="1" max="1" width="1.453125" style="1" customWidth="1"/>
    <col min="2" max="2" width="28.81640625" style="20" bestFit="1" customWidth="1"/>
    <col min="3" max="3" width="2.453125" style="1" customWidth="1"/>
    <col min="4" max="7" width="15.81640625" style="1" customWidth="1" outlineLevel="1"/>
    <col min="8" max="15" width="17.36328125" style="1" customWidth="1" outlineLevel="1"/>
    <col min="16" max="16" width="17.1796875" style="2" bestFit="1" customWidth="1"/>
    <col min="17" max="17" width="21.453125" style="3" customWidth="1"/>
    <col min="18" max="18" width="22" style="3" customWidth="1"/>
    <col min="19" max="19" width="21" style="3" customWidth="1"/>
    <col min="20" max="20" width="21.81640625" style="3" customWidth="1"/>
    <col min="21" max="21" width="21.81640625" style="1" customWidth="1"/>
    <col min="22" max="16384" width="9.1796875" style="1"/>
  </cols>
  <sheetData>
    <row r="2" spans="1:25" ht="17.5" thickBot="1" x14ac:dyDescent="0.4">
      <c r="A2" s="28" t="s">
        <v>52</v>
      </c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  <c r="R2" s="24"/>
      <c r="S2" s="24"/>
      <c r="T2" s="24"/>
      <c r="U2" s="5"/>
    </row>
    <row r="3" spans="1:25" s="2" customFormat="1" ht="18" thickTop="1" thickBot="1" x14ac:dyDescent="0.4">
      <c r="A3" s="26"/>
      <c r="B3" s="25"/>
      <c r="C3" s="26"/>
      <c r="D3" s="27" t="s">
        <v>11</v>
      </c>
      <c r="E3" s="27" t="s">
        <v>12</v>
      </c>
      <c r="F3" s="27" t="s">
        <v>13</v>
      </c>
      <c r="G3" s="27" t="s">
        <v>14</v>
      </c>
      <c r="H3" s="27" t="s">
        <v>0</v>
      </c>
      <c r="I3" s="27" t="s">
        <v>15</v>
      </c>
      <c r="J3" s="27" t="s">
        <v>16</v>
      </c>
      <c r="K3" s="27" t="s">
        <v>17</v>
      </c>
      <c r="L3" s="27" t="s">
        <v>18</v>
      </c>
      <c r="M3" s="27" t="s">
        <v>19</v>
      </c>
      <c r="N3" s="27" t="s">
        <v>20</v>
      </c>
      <c r="O3" s="27" t="s">
        <v>21</v>
      </c>
      <c r="P3" s="26" t="s">
        <v>45</v>
      </c>
      <c r="Q3" s="26" t="s">
        <v>47</v>
      </c>
      <c r="R3" s="26" t="s">
        <v>48</v>
      </c>
      <c r="S3" s="26" t="s">
        <v>49</v>
      </c>
      <c r="T3" s="26" t="s">
        <v>50</v>
      </c>
      <c r="U3" s="5"/>
      <c r="V3" s="1"/>
      <c r="W3" s="1"/>
      <c r="X3" s="1"/>
      <c r="Y3" s="1"/>
    </row>
    <row r="4" spans="1:25" ht="18" thickTop="1" thickBot="1" x14ac:dyDescent="0.4">
      <c r="A4" s="26"/>
      <c r="B4" s="25"/>
      <c r="C4" s="26"/>
      <c r="D4" s="26" t="s">
        <v>1</v>
      </c>
      <c r="E4" s="26" t="s">
        <v>1</v>
      </c>
      <c r="F4" s="26" t="s">
        <v>1</v>
      </c>
      <c r="G4" s="26" t="s">
        <v>1</v>
      </c>
      <c r="H4" s="26" t="s">
        <v>1</v>
      </c>
      <c r="I4" s="26" t="s">
        <v>1</v>
      </c>
      <c r="J4" s="26" t="s">
        <v>1</v>
      </c>
      <c r="K4" s="26" t="s">
        <v>1</v>
      </c>
      <c r="L4" s="26" t="s">
        <v>1</v>
      </c>
      <c r="M4" s="26" t="s">
        <v>1</v>
      </c>
      <c r="N4" s="26" t="s">
        <v>1</v>
      </c>
      <c r="O4" s="26" t="s">
        <v>1</v>
      </c>
      <c r="P4" s="26" t="s">
        <v>1</v>
      </c>
      <c r="Q4" s="26" t="s">
        <v>1</v>
      </c>
      <c r="R4" s="26" t="s">
        <v>1</v>
      </c>
      <c r="S4" s="26" t="s">
        <v>1</v>
      </c>
      <c r="T4" s="26" t="s">
        <v>1</v>
      </c>
      <c r="U4" s="5"/>
    </row>
    <row r="5" spans="1:25" ht="18" customHeight="1" thickTop="1" thickBot="1" x14ac:dyDescent="0.4">
      <c r="B5" s="16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5"/>
    </row>
    <row r="6" spans="1:25" ht="18" customHeight="1" x14ac:dyDescent="0.35">
      <c r="B6" s="17" t="str">
        <f>'Assumption-(MedSupplies)'!B5</f>
        <v>Wellness Packages</v>
      </c>
      <c r="C6" s="9"/>
      <c r="D6" s="10">
        <f>'Assumption-(MedSupplies)'!D5</f>
        <v>0</v>
      </c>
      <c r="E6" s="10">
        <f>'Assumption-(MedSupplies)'!E5</f>
        <v>0</v>
      </c>
      <c r="F6" s="10">
        <f>'Assumption-(MedSupplies)'!F5</f>
        <v>0</v>
      </c>
      <c r="G6" s="10">
        <f>'Assumption-(MedSupplies)'!G5</f>
        <v>0</v>
      </c>
      <c r="H6" s="10">
        <f>'Assumption-(MedSupplies)'!H5</f>
        <v>0</v>
      </c>
      <c r="I6" s="10">
        <f>'Assumption-(MedSupplies)'!I5</f>
        <v>0</v>
      </c>
      <c r="J6" s="10">
        <f>'Assumption-(MedSupplies)'!J5</f>
        <v>0</v>
      </c>
      <c r="K6" s="10">
        <f>'Assumption-(MedSupplies)'!K5</f>
        <v>0</v>
      </c>
      <c r="L6" s="10">
        <f>'Assumption-(MedSupplies)'!L5</f>
        <v>0</v>
      </c>
      <c r="M6" s="10">
        <f>'Assumption-(MedSupplies)'!M5</f>
        <v>0</v>
      </c>
      <c r="N6" s="10">
        <f>'Assumption-(MedSupplies)'!N5</f>
        <v>0</v>
      </c>
      <c r="O6" s="10">
        <f>'Assumption-(MedSupplies)'!O5</f>
        <v>0</v>
      </c>
      <c r="P6" s="11">
        <f>SUM(D6:O6)</f>
        <v>0</v>
      </c>
      <c r="Q6" s="12">
        <f>P6*(1+'Assumption-(MedSupplies)'!E$66)*(1+'Assumption-(MedSupplies)'!E$69)</f>
        <v>0</v>
      </c>
      <c r="R6" s="12">
        <f>Q6*(1+'Assumption-(MedSupplies)'!F$66)*(1+'Assumption-(MedSupplies)'!F$69)</f>
        <v>0</v>
      </c>
      <c r="S6" s="12">
        <f>R6*(1+'Assumption-(MedSupplies)'!G$66)*(1+'Assumption-(MedSupplies)'!G$69)</f>
        <v>0</v>
      </c>
      <c r="T6" s="12">
        <f>S6*(1+'Assumption-(MedSupplies)'!H$66)*(1+'Assumption-(MedSupplies)'!H$69)</f>
        <v>0</v>
      </c>
      <c r="U6" s="5"/>
    </row>
    <row r="7" spans="1:25" ht="22" customHeight="1" x14ac:dyDescent="0.35">
      <c r="B7" s="17" t="str">
        <f>'Assumption-(MedSupplies)'!B13</f>
        <v xml:space="preserve">Medsupplies </v>
      </c>
      <c r="C7" s="9"/>
      <c r="D7" s="10">
        <f>'Assumption-(MedSupplies)'!D13</f>
        <v>36000000</v>
      </c>
      <c r="E7" s="10">
        <f>'Assumption-(MedSupplies)'!E13</f>
        <v>36000000</v>
      </c>
      <c r="F7" s="10">
        <f>'Assumption-(MedSupplies)'!F13</f>
        <v>248000000</v>
      </c>
      <c r="G7" s="10">
        <f>'Assumption-(MedSupplies)'!G13</f>
        <v>36000000</v>
      </c>
      <c r="H7" s="10">
        <f>'Assumption-(MedSupplies)'!H13</f>
        <v>36000000</v>
      </c>
      <c r="I7" s="10">
        <f>'Assumption-(MedSupplies)'!I13</f>
        <v>248000000</v>
      </c>
      <c r="J7" s="10">
        <f>'Assumption-(MedSupplies)'!J13</f>
        <v>36000000</v>
      </c>
      <c r="K7" s="10">
        <f>'Assumption-(MedSupplies)'!K13</f>
        <v>36000000</v>
      </c>
      <c r="L7" s="10">
        <f>'Assumption-(MedSupplies)'!L13</f>
        <v>248000000</v>
      </c>
      <c r="M7" s="10">
        <f>'Assumption-(MedSupplies)'!M13</f>
        <v>36000000</v>
      </c>
      <c r="N7" s="10">
        <f>'Assumption-(MedSupplies)'!N13</f>
        <v>36000000</v>
      </c>
      <c r="O7" s="10">
        <f>'Assumption-(MedSupplies)'!O13</f>
        <v>248000000</v>
      </c>
      <c r="P7" s="11">
        <f>SUM(D7:O7)</f>
        <v>1280000000</v>
      </c>
      <c r="Q7" s="12">
        <f>P7*(1+'Assumption-(MedSupplies)'!E$66)*(1+'Assumption-(MedSupplies)'!E$69)</f>
        <v>1766400000</v>
      </c>
      <c r="R7" s="12">
        <f>Q7*(1+'Assumption-(MedSupplies)'!F$66)*(1+'Assumption-(MedSupplies)'!F$69)</f>
        <v>2437631999.9999995</v>
      </c>
      <c r="S7" s="12">
        <f>R7*(1+'Assumption-(MedSupplies)'!G$66)*(1+'Assumption-(MedSupplies)'!G$69)</f>
        <v>3363932159.9999986</v>
      </c>
      <c r="T7" s="12">
        <f>S7*(1+'Assumption-(MedSupplies)'!H$66)*(1+'Assumption-(MedSupplies)'!H$69)</f>
        <v>4642226380.7999973</v>
      </c>
      <c r="U7" s="5"/>
    </row>
    <row r="8" spans="1:25" ht="13" thickBot="1" x14ac:dyDescent="0.4">
      <c r="B8" s="16"/>
      <c r="C8" s="16"/>
      <c r="D8" s="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9"/>
      <c r="Q8" s="29"/>
      <c r="R8" s="29"/>
      <c r="S8" s="29"/>
      <c r="T8" s="29"/>
      <c r="U8" s="5"/>
    </row>
    <row r="9" spans="1:25" s="2" customFormat="1" ht="13" thickBot="1" x14ac:dyDescent="0.4">
      <c r="B9" s="16" t="s">
        <v>3</v>
      </c>
      <c r="C9" s="16"/>
      <c r="D9" s="8">
        <f>SUM(D6:D7)</f>
        <v>36000000</v>
      </c>
      <c r="E9" s="30">
        <f t="shared" ref="E9:T9" si="0">SUM(E6:E7)</f>
        <v>36000000</v>
      </c>
      <c r="F9" s="30">
        <f t="shared" si="0"/>
        <v>248000000</v>
      </c>
      <c r="G9" s="30">
        <f t="shared" si="0"/>
        <v>36000000</v>
      </c>
      <c r="H9" s="30">
        <f t="shared" si="0"/>
        <v>36000000</v>
      </c>
      <c r="I9" s="30">
        <f t="shared" si="0"/>
        <v>248000000</v>
      </c>
      <c r="J9" s="30">
        <f t="shared" si="0"/>
        <v>36000000</v>
      </c>
      <c r="K9" s="30">
        <f t="shared" si="0"/>
        <v>36000000</v>
      </c>
      <c r="L9" s="30">
        <f t="shared" si="0"/>
        <v>248000000</v>
      </c>
      <c r="M9" s="30">
        <f t="shared" si="0"/>
        <v>36000000</v>
      </c>
      <c r="N9" s="30">
        <f t="shared" si="0"/>
        <v>36000000</v>
      </c>
      <c r="O9" s="30">
        <f t="shared" si="0"/>
        <v>248000000</v>
      </c>
      <c r="P9" s="30">
        <f t="shared" si="0"/>
        <v>1280000000</v>
      </c>
      <c r="Q9" s="30">
        <f>SUM(Q6:Q7)</f>
        <v>1766400000</v>
      </c>
      <c r="R9" s="30">
        <f t="shared" si="0"/>
        <v>2437631999.9999995</v>
      </c>
      <c r="S9" s="30">
        <f t="shared" si="0"/>
        <v>3363932159.9999986</v>
      </c>
      <c r="T9" s="30">
        <f t="shared" si="0"/>
        <v>4642226380.7999973</v>
      </c>
      <c r="U9" s="5"/>
      <c r="V9" s="1"/>
      <c r="W9" s="1"/>
      <c r="X9" s="1"/>
      <c r="Y9" s="1"/>
    </row>
    <row r="10" spans="1:25" ht="9" customHeight="1" x14ac:dyDescent="0.35">
      <c r="B10" s="17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2"/>
      <c r="R10" s="12"/>
      <c r="S10" s="12"/>
      <c r="T10" s="12"/>
      <c r="U10" s="5"/>
    </row>
    <row r="11" spans="1:25" ht="13" thickBot="1" x14ac:dyDescent="0.4">
      <c r="B11" s="16" t="s">
        <v>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3"/>
      <c r="Q11" s="13"/>
      <c r="R11" s="13"/>
      <c r="S11" s="13"/>
      <c r="T11" s="13"/>
      <c r="U11" s="5"/>
    </row>
    <row r="12" spans="1:25" ht="12.5" x14ac:dyDescent="0.35">
      <c r="B12" s="17" t="s">
        <v>32</v>
      </c>
      <c r="C12" s="9"/>
      <c r="D12" s="10">
        <f>'Assumption-(MedSupplies)'!$C70*D$9</f>
        <v>18000000</v>
      </c>
      <c r="E12" s="10">
        <f>'Assumption-(MedSupplies)'!$C70*E$9</f>
        <v>18000000</v>
      </c>
      <c r="F12" s="10">
        <f>'Assumption-(MedSupplies)'!$C70*F$9</f>
        <v>124000000</v>
      </c>
      <c r="G12" s="10">
        <f>'Assumption-(MedSupplies)'!$C70*G$9</f>
        <v>18000000</v>
      </c>
      <c r="H12" s="10">
        <f>'Assumption-(MedSupplies)'!$C70*H$9</f>
        <v>18000000</v>
      </c>
      <c r="I12" s="10">
        <f>'Assumption-(MedSupplies)'!$C70*I$9</f>
        <v>124000000</v>
      </c>
      <c r="J12" s="10">
        <f>'Assumption-(MedSupplies)'!$C70*J$9</f>
        <v>18000000</v>
      </c>
      <c r="K12" s="10">
        <f>'Assumption-(MedSupplies)'!$C70*K$9</f>
        <v>18000000</v>
      </c>
      <c r="L12" s="10">
        <f>'Assumption-(MedSupplies)'!$C70*L$9</f>
        <v>124000000</v>
      </c>
      <c r="M12" s="10">
        <f>'Assumption-(MedSupplies)'!$C70*M$9</f>
        <v>18000000</v>
      </c>
      <c r="N12" s="10">
        <f>'Assumption-(MedSupplies)'!$C70*N$9</f>
        <v>18000000</v>
      </c>
      <c r="O12" s="10">
        <f>'Assumption-(MedSupplies)'!$C70*O$9</f>
        <v>124000000</v>
      </c>
      <c r="P12" s="11">
        <f>SUM(D12:O12)</f>
        <v>640000000</v>
      </c>
      <c r="Q12" s="12">
        <f>P$9*(1+'Assumption-(MedSupplies)'!E$70)*'Assumption-(MedSupplies)'!$C$70</f>
        <v>704000000</v>
      </c>
      <c r="R12" s="12">
        <f>Q$9*(1+'Assumption-(MedSupplies)'!F$70)*'Assumption-(MedSupplies)'!$C$70</f>
        <v>953856000.00000012</v>
      </c>
      <c r="S12" s="12">
        <f>R$9*(1+'Assumption-(MedSupplies)'!G$70)*'Assumption-(MedSupplies)'!$C$70</f>
        <v>1316321279.9999998</v>
      </c>
      <c r="T12" s="12">
        <f>S$9*(1+'Assumption-(MedSupplies)'!H$70)*'Assumption-(MedSupplies)'!$C$70</f>
        <v>1782884044.7999992</v>
      </c>
      <c r="U12" s="5"/>
    </row>
    <row r="13" spans="1:25" ht="12.5" x14ac:dyDescent="0.35">
      <c r="B13" s="17" t="s">
        <v>33</v>
      </c>
      <c r="C13" s="9"/>
      <c r="D13" s="10">
        <f>'Assumption-(MedSupplies)'!$C73*D$9</f>
        <v>0</v>
      </c>
      <c r="E13" s="10">
        <f>'Assumption-(MedSupplies)'!$C73*E$9</f>
        <v>0</v>
      </c>
      <c r="F13" s="10">
        <f>'Assumption-(MedSupplies)'!$C73*F$9</f>
        <v>0</v>
      </c>
      <c r="G13" s="10">
        <f>'Assumption-(MedSupplies)'!$C73*G$9</f>
        <v>0</v>
      </c>
      <c r="H13" s="10">
        <f>'Assumption-(MedSupplies)'!$C73*H$9</f>
        <v>0</v>
      </c>
      <c r="I13" s="10">
        <f>'Assumption-(MedSupplies)'!$C73*I$9</f>
        <v>0</v>
      </c>
      <c r="J13" s="10">
        <f>'Assumption-(MedSupplies)'!$C73*J$9</f>
        <v>0</v>
      </c>
      <c r="K13" s="10">
        <f>'Assumption-(MedSupplies)'!$C73*K$9</f>
        <v>0</v>
      </c>
      <c r="L13" s="10">
        <f>'Assumption-(MedSupplies)'!$C73*L$9</f>
        <v>0</v>
      </c>
      <c r="M13" s="10">
        <f>'Assumption-(MedSupplies)'!$C73*M$9</f>
        <v>0</v>
      </c>
      <c r="N13" s="10">
        <f>'Assumption-(MedSupplies)'!$C73*N$9</f>
        <v>0</v>
      </c>
      <c r="O13" s="10">
        <f>'Assumption-(MedSupplies)'!$C73*O$9</f>
        <v>0</v>
      </c>
      <c r="P13" s="11">
        <f t="shared" ref="P13" si="1">SUM(D13:O13)</f>
        <v>0</v>
      </c>
      <c r="Q13" s="12">
        <f>P$9*(1+'Assumption-(MedSupplies)'!$E73)*'Assumption-(MedSupplies)'!$C$73</f>
        <v>0</v>
      </c>
      <c r="R13" s="12">
        <f>Q$9*(1+'Assumption-(MedSupplies)'!$E73)*'Assumption-(MedSupplies)'!$C$73</f>
        <v>0</v>
      </c>
      <c r="S13" s="12">
        <f>R$9*(1+'Assumption-(MedSupplies)'!$E73)*'Assumption-(MedSupplies)'!$C$73</f>
        <v>0</v>
      </c>
      <c r="T13" s="12">
        <f>S$9*(1+'Assumption-(MedSupplies)'!$E73)*'Assumption-(MedSupplies)'!$C$73</f>
        <v>0</v>
      </c>
      <c r="U13" s="5"/>
    </row>
    <row r="14" spans="1:25" ht="4.5" customHeight="1" thickBot="1" x14ac:dyDescent="0.4">
      <c r="B14" s="16"/>
      <c r="C14" s="16"/>
      <c r="D14" s="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5"/>
    </row>
    <row r="15" spans="1:25" s="2" customFormat="1" ht="15" customHeight="1" thickBot="1" x14ac:dyDescent="0.4">
      <c r="B15" s="16" t="s">
        <v>44</v>
      </c>
      <c r="C15" s="16"/>
      <c r="D15" s="31">
        <f t="shared" ref="D15:T15" si="2">SUM(D12:D13)</f>
        <v>18000000</v>
      </c>
      <c r="E15" s="31">
        <f t="shared" si="2"/>
        <v>18000000</v>
      </c>
      <c r="F15" s="31">
        <f t="shared" si="2"/>
        <v>124000000</v>
      </c>
      <c r="G15" s="31">
        <f t="shared" si="2"/>
        <v>18000000</v>
      </c>
      <c r="H15" s="31">
        <f t="shared" si="2"/>
        <v>18000000</v>
      </c>
      <c r="I15" s="31">
        <f t="shared" si="2"/>
        <v>124000000</v>
      </c>
      <c r="J15" s="31">
        <f t="shared" si="2"/>
        <v>18000000</v>
      </c>
      <c r="K15" s="31">
        <f t="shared" si="2"/>
        <v>18000000</v>
      </c>
      <c r="L15" s="31">
        <f t="shared" si="2"/>
        <v>124000000</v>
      </c>
      <c r="M15" s="31">
        <f t="shared" si="2"/>
        <v>18000000</v>
      </c>
      <c r="N15" s="31">
        <f t="shared" si="2"/>
        <v>18000000</v>
      </c>
      <c r="O15" s="31">
        <f t="shared" si="2"/>
        <v>124000000</v>
      </c>
      <c r="P15" s="29">
        <f t="shared" si="2"/>
        <v>640000000</v>
      </c>
      <c r="Q15" s="29">
        <f t="shared" si="2"/>
        <v>704000000</v>
      </c>
      <c r="R15" s="29">
        <f t="shared" si="2"/>
        <v>953856000.00000012</v>
      </c>
      <c r="S15" s="29">
        <f t="shared" si="2"/>
        <v>1316321279.9999998</v>
      </c>
      <c r="T15" s="29">
        <f t="shared" si="2"/>
        <v>1782884044.7999992</v>
      </c>
      <c r="U15" s="5"/>
      <c r="V15" s="1"/>
      <c r="W15" s="1"/>
      <c r="X15" s="1"/>
      <c r="Y15" s="1"/>
    </row>
    <row r="16" spans="1:25" ht="7.5" customHeight="1" x14ac:dyDescent="0.35">
      <c r="B16" s="17"/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1"/>
      <c r="Q16" s="12"/>
      <c r="R16" s="12"/>
      <c r="S16" s="12"/>
      <c r="T16" s="12"/>
      <c r="U16" s="5"/>
    </row>
    <row r="17" spans="2:21" ht="13" thickBot="1" x14ac:dyDescent="0.4">
      <c r="B17" s="16" t="s">
        <v>10</v>
      </c>
      <c r="C17" s="6"/>
      <c r="D17" s="31">
        <f t="shared" ref="D17:T17" si="3">D9-D15</f>
        <v>18000000</v>
      </c>
      <c r="E17" s="31">
        <f t="shared" si="3"/>
        <v>18000000</v>
      </c>
      <c r="F17" s="31">
        <f t="shared" si="3"/>
        <v>124000000</v>
      </c>
      <c r="G17" s="31">
        <f t="shared" si="3"/>
        <v>18000000</v>
      </c>
      <c r="H17" s="31">
        <f t="shared" si="3"/>
        <v>18000000</v>
      </c>
      <c r="I17" s="31">
        <f t="shared" si="3"/>
        <v>124000000</v>
      </c>
      <c r="J17" s="31">
        <f t="shared" si="3"/>
        <v>18000000</v>
      </c>
      <c r="K17" s="31">
        <f t="shared" si="3"/>
        <v>18000000</v>
      </c>
      <c r="L17" s="31">
        <f t="shared" si="3"/>
        <v>124000000</v>
      </c>
      <c r="M17" s="31">
        <f t="shared" si="3"/>
        <v>18000000</v>
      </c>
      <c r="N17" s="31">
        <f t="shared" si="3"/>
        <v>18000000</v>
      </c>
      <c r="O17" s="31">
        <f t="shared" si="3"/>
        <v>124000000</v>
      </c>
      <c r="P17" s="15">
        <f t="shared" si="3"/>
        <v>640000000</v>
      </c>
      <c r="Q17" s="15">
        <f t="shared" si="3"/>
        <v>1062400000</v>
      </c>
      <c r="R17" s="15">
        <f t="shared" si="3"/>
        <v>1483775999.9999995</v>
      </c>
      <c r="S17" s="15">
        <f t="shared" si="3"/>
        <v>2047610879.9999988</v>
      </c>
      <c r="T17" s="15">
        <f t="shared" si="3"/>
        <v>2859342335.9999981</v>
      </c>
      <c r="U17" s="5"/>
    </row>
    <row r="18" spans="2:21" ht="12.5" x14ac:dyDescent="0.35">
      <c r="B18" s="17"/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1"/>
      <c r="Q18" s="12"/>
      <c r="R18" s="12"/>
      <c r="S18" s="12"/>
      <c r="T18" s="12"/>
      <c r="U18" s="5"/>
    </row>
    <row r="19" spans="2:21" ht="13" thickBot="1" x14ac:dyDescent="0.4">
      <c r="B19" s="16" t="s">
        <v>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5"/>
    </row>
    <row r="20" spans="2:21" ht="12.5" x14ac:dyDescent="0.25">
      <c r="B20" s="18" t="s">
        <v>31</v>
      </c>
      <c r="C20" s="9"/>
      <c r="D20" s="14">
        <f>'Assumption-(MedSupplies)'!$D$77/12</f>
        <v>0</v>
      </c>
      <c r="E20" s="14">
        <f>'Assumption-(MedSupplies)'!$D$77/12</f>
        <v>0</v>
      </c>
      <c r="F20" s="14">
        <f>'Assumption-(MedSupplies)'!$D$77/12</f>
        <v>0</v>
      </c>
      <c r="G20" s="14">
        <f>'Assumption-(MedSupplies)'!$D$77/12</f>
        <v>0</v>
      </c>
      <c r="H20" s="14">
        <f>'Assumption-(MedSupplies)'!$D$77/12</f>
        <v>0</v>
      </c>
      <c r="I20" s="14">
        <f>'Assumption-(MedSupplies)'!$D$77/12</f>
        <v>0</v>
      </c>
      <c r="J20" s="14">
        <f>'Assumption-(MedSupplies)'!$D$77/12</f>
        <v>0</v>
      </c>
      <c r="K20" s="14">
        <f>'Assumption-(MedSupplies)'!$D$77/12</f>
        <v>0</v>
      </c>
      <c r="L20" s="14">
        <f>'Assumption-(MedSupplies)'!$D$77/12</f>
        <v>0</v>
      </c>
      <c r="M20" s="14">
        <f>'Assumption-(MedSupplies)'!$D$77/12</f>
        <v>0</v>
      </c>
      <c r="N20" s="14">
        <f>'Assumption-(MedSupplies)'!$D$77/12</f>
        <v>0</v>
      </c>
      <c r="O20" s="14">
        <f>'Assumption-(MedSupplies)'!$D$77/12</f>
        <v>0</v>
      </c>
      <c r="P20" s="11">
        <f>SUM(D20:O20)</f>
        <v>0</v>
      </c>
      <c r="Q20" s="12">
        <f>P20*(1+'Assumption-(MedSupplies)'!E$77)</f>
        <v>0</v>
      </c>
      <c r="R20" s="12">
        <f>Q20*(1+'Assumption-(MedSupplies)'!F$77)</f>
        <v>0</v>
      </c>
      <c r="S20" s="12">
        <f>R20*(1+'Assumption-(MedSupplies)'!G$77)</f>
        <v>0</v>
      </c>
      <c r="T20" s="12">
        <f>S20*(1+'Assumption-(MedSupplies)'!H$77)</f>
        <v>0</v>
      </c>
      <c r="U20" s="5"/>
    </row>
    <row r="21" spans="2:21" ht="12.5" x14ac:dyDescent="0.25">
      <c r="B21" s="18" t="s">
        <v>30</v>
      </c>
      <c r="C21" s="9"/>
      <c r="D21" s="14">
        <f>'Computations-Outputs'!$D$9*'Assumption-(MedSupplies)'!$C$78</f>
        <v>360000</v>
      </c>
      <c r="E21" s="14">
        <f>'Computations-Outputs'!$D$9*'Assumption-(MedSupplies)'!$C$78</f>
        <v>360000</v>
      </c>
      <c r="F21" s="14">
        <f>'Computations-Outputs'!$D$9*'Assumption-(MedSupplies)'!$C$78</f>
        <v>360000</v>
      </c>
      <c r="G21" s="14">
        <f>'Computations-Outputs'!$D$9*'Assumption-(MedSupplies)'!$C$78</f>
        <v>360000</v>
      </c>
      <c r="H21" s="14">
        <f>'Computations-Outputs'!$D$9*'Assumption-(MedSupplies)'!$C$78</f>
        <v>360000</v>
      </c>
      <c r="I21" s="14">
        <f>'Computations-Outputs'!$D$9*'Assumption-(MedSupplies)'!$C$78</f>
        <v>360000</v>
      </c>
      <c r="J21" s="14">
        <f>'Computations-Outputs'!$D$9*'Assumption-(MedSupplies)'!$C$78</f>
        <v>360000</v>
      </c>
      <c r="K21" s="14">
        <f>'Computations-Outputs'!$D$9*'Assumption-(MedSupplies)'!$C$78</f>
        <v>360000</v>
      </c>
      <c r="L21" s="14">
        <f>'Computations-Outputs'!$D$9*'Assumption-(MedSupplies)'!$C$78</f>
        <v>360000</v>
      </c>
      <c r="M21" s="14">
        <f>'Computations-Outputs'!$D$9*'Assumption-(MedSupplies)'!$C$78</f>
        <v>360000</v>
      </c>
      <c r="N21" s="14">
        <f>'Computations-Outputs'!$D$9*'Assumption-(MedSupplies)'!$C$78</f>
        <v>360000</v>
      </c>
      <c r="O21" s="14">
        <f>'Computations-Outputs'!$D$9*'Assumption-(MedSupplies)'!$C$78</f>
        <v>360000</v>
      </c>
      <c r="P21" s="11">
        <f t="shared" ref="P21:P29" si="4">SUM(D21:O21)</f>
        <v>4320000</v>
      </c>
      <c r="Q21" s="12">
        <f>P21*(1+'Assumption-(MedSupplies)'!E$67)</f>
        <v>4968000</v>
      </c>
      <c r="R21" s="12">
        <f>Q21*(1+'Assumption-(MedSupplies)'!F$67)</f>
        <v>5713200</v>
      </c>
      <c r="S21" s="12">
        <f>R21*(1+'Assumption-(MedSupplies)'!G$67)</f>
        <v>6570179.9999999991</v>
      </c>
      <c r="T21" s="12">
        <f>S21*(1+'Assumption-(MedSupplies)'!H$67)</f>
        <v>7555706.9999999981</v>
      </c>
      <c r="U21" s="5"/>
    </row>
    <row r="22" spans="2:21" ht="12.5" x14ac:dyDescent="0.25">
      <c r="B22" s="18" t="s">
        <v>29</v>
      </c>
      <c r="C22" s="9"/>
      <c r="D22" s="14">
        <f>'Assumption-(MedSupplies)'!$C$79*'Computations-Outputs'!$D$9</f>
        <v>18000</v>
      </c>
      <c r="E22" s="14">
        <f>'Assumption-(MedSupplies)'!$C$79*'Computations-Outputs'!$D$9</f>
        <v>18000</v>
      </c>
      <c r="F22" s="14">
        <f>'Assumption-(MedSupplies)'!$C$79*'Computations-Outputs'!$D$9</f>
        <v>18000</v>
      </c>
      <c r="G22" s="14">
        <f>'Assumption-(MedSupplies)'!$C$79*'Computations-Outputs'!$D$9</f>
        <v>18000</v>
      </c>
      <c r="H22" s="14">
        <f>'Assumption-(MedSupplies)'!$C$79*'Computations-Outputs'!$D$9</f>
        <v>18000</v>
      </c>
      <c r="I22" s="14">
        <f>'Assumption-(MedSupplies)'!$C$79*'Computations-Outputs'!$D$9</f>
        <v>18000</v>
      </c>
      <c r="J22" s="14">
        <f>'Assumption-(MedSupplies)'!$C$79*'Computations-Outputs'!$D$9</f>
        <v>18000</v>
      </c>
      <c r="K22" s="14">
        <f>'Assumption-(MedSupplies)'!$C$79*'Computations-Outputs'!$D$9</f>
        <v>18000</v>
      </c>
      <c r="L22" s="14">
        <f>'Assumption-(MedSupplies)'!$C$79*'Computations-Outputs'!$D$9</f>
        <v>18000</v>
      </c>
      <c r="M22" s="14">
        <f>'Assumption-(MedSupplies)'!$C$79*'Computations-Outputs'!$D$9</f>
        <v>18000</v>
      </c>
      <c r="N22" s="14">
        <f>'Assumption-(MedSupplies)'!$C$79*'Computations-Outputs'!$D$9</f>
        <v>18000</v>
      </c>
      <c r="O22" s="14">
        <f>'Assumption-(MedSupplies)'!$C$79*'Computations-Outputs'!$D$9</f>
        <v>18000</v>
      </c>
      <c r="P22" s="11">
        <f t="shared" si="4"/>
        <v>216000</v>
      </c>
      <c r="Q22" s="12">
        <f>P22*(1+'Assumption-(MedSupplies)'!E$67)</f>
        <v>248399.99999999997</v>
      </c>
      <c r="R22" s="12">
        <f>Q22*(1+'Assumption-(MedSupplies)'!F$67)</f>
        <v>285659.99999999994</v>
      </c>
      <c r="S22" s="12">
        <f>R22*(1+'Assumption-(MedSupplies)'!G$67)</f>
        <v>328508.99999999988</v>
      </c>
      <c r="T22" s="12">
        <f>S22*(1+'Assumption-(MedSupplies)'!H$67)</f>
        <v>377785.34999999986</v>
      </c>
      <c r="U22" s="5"/>
    </row>
    <row r="23" spans="2:21" ht="12.5" x14ac:dyDescent="0.25">
      <c r="B23" s="18" t="s">
        <v>28</v>
      </c>
      <c r="C23" s="9"/>
      <c r="D23" s="14">
        <f>'Assumption-(MedSupplies)'!$D$80/12</f>
        <v>12500</v>
      </c>
      <c r="E23" s="14">
        <f>'Assumption-(MedSupplies)'!$D$80/12</f>
        <v>12500</v>
      </c>
      <c r="F23" s="14">
        <f>'Assumption-(MedSupplies)'!$D$80/12</f>
        <v>12500</v>
      </c>
      <c r="G23" s="14">
        <f>'Assumption-(MedSupplies)'!$D$80/12</f>
        <v>12500</v>
      </c>
      <c r="H23" s="14">
        <f>'Assumption-(MedSupplies)'!$D$80/12</f>
        <v>12500</v>
      </c>
      <c r="I23" s="14">
        <f>'Assumption-(MedSupplies)'!$D$80/12</f>
        <v>12500</v>
      </c>
      <c r="J23" s="14">
        <f>'Assumption-(MedSupplies)'!$D$80/12</f>
        <v>12500</v>
      </c>
      <c r="K23" s="14">
        <f>'Assumption-(MedSupplies)'!$D$80/12</f>
        <v>12500</v>
      </c>
      <c r="L23" s="14">
        <f>'Assumption-(MedSupplies)'!$D$80/12</f>
        <v>12500</v>
      </c>
      <c r="M23" s="14">
        <f>'Assumption-(MedSupplies)'!$D$80/12</f>
        <v>12500</v>
      </c>
      <c r="N23" s="14">
        <f>'Assumption-(MedSupplies)'!$D$80/12</f>
        <v>12500</v>
      </c>
      <c r="O23" s="14">
        <f>'Assumption-(MedSupplies)'!$D$80/12</f>
        <v>12500</v>
      </c>
      <c r="P23" s="11">
        <f t="shared" si="4"/>
        <v>150000</v>
      </c>
      <c r="Q23" s="12">
        <f>P23*(1+'Assumption-(MedSupplies)'!E$67)</f>
        <v>172500</v>
      </c>
      <c r="R23" s="12">
        <f>Q23*(1+'Assumption-(MedSupplies)'!F$67)</f>
        <v>198374.99999999997</v>
      </c>
      <c r="S23" s="12">
        <f>R23*(1+'Assumption-(MedSupplies)'!G$67)</f>
        <v>228131.24999999994</v>
      </c>
      <c r="T23" s="12">
        <f>S23*(1+'Assumption-(MedSupplies)'!H$67)</f>
        <v>262350.93749999994</v>
      </c>
      <c r="U23" s="5"/>
    </row>
    <row r="24" spans="2:21" ht="12.5" x14ac:dyDescent="0.25">
      <c r="B24" s="18" t="s">
        <v>27</v>
      </c>
      <c r="C24" s="9"/>
      <c r="D24" s="14">
        <f>'Assumption-(MedSupplies)'!$D82/12</f>
        <v>4166.666666666667</v>
      </c>
      <c r="E24" s="14">
        <f>'Assumption-(MedSupplies)'!$D82/12</f>
        <v>4166.666666666667</v>
      </c>
      <c r="F24" s="14">
        <f>'Assumption-(MedSupplies)'!$D82/12</f>
        <v>4166.666666666667</v>
      </c>
      <c r="G24" s="14">
        <f>'Assumption-(MedSupplies)'!$D82/12</f>
        <v>4166.666666666667</v>
      </c>
      <c r="H24" s="14">
        <f>'Assumption-(MedSupplies)'!$D82/12</f>
        <v>4166.666666666667</v>
      </c>
      <c r="I24" s="14">
        <f>'Assumption-(MedSupplies)'!$D82/12</f>
        <v>4166.666666666667</v>
      </c>
      <c r="J24" s="14">
        <f>'Assumption-(MedSupplies)'!$D82/12</f>
        <v>4166.666666666667</v>
      </c>
      <c r="K24" s="14">
        <f>'Assumption-(MedSupplies)'!$D82/12</f>
        <v>4166.666666666667</v>
      </c>
      <c r="L24" s="14">
        <f>'Assumption-(MedSupplies)'!$D82/12</f>
        <v>4166.666666666667</v>
      </c>
      <c r="M24" s="14">
        <f>'Assumption-(MedSupplies)'!$D82/12</f>
        <v>4166.666666666667</v>
      </c>
      <c r="N24" s="14">
        <f>'Assumption-(MedSupplies)'!$D82/12</f>
        <v>4166.666666666667</v>
      </c>
      <c r="O24" s="14">
        <f>'Assumption-(MedSupplies)'!$D82/12</f>
        <v>4166.666666666667</v>
      </c>
      <c r="P24" s="11">
        <f t="shared" si="4"/>
        <v>49999.999999999993</v>
      </c>
      <c r="Q24" s="12">
        <f>P24*(1+'Assumption-(MedSupplies)'!E$67)</f>
        <v>57499.999999999985</v>
      </c>
      <c r="R24" s="12">
        <f>Q24*(1+'Assumption-(MedSupplies)'!F$67)</f>
        <v>66124.999999999971</v>
      </c>
      <c r="S24" s="12">
        <f>R24*(1+'Assumption-(MedSupplies)'!G$67)</f>
        <v>76043.749999999956</v>
      </c>
      <c r="T24" s="12">
        <f>S24*(1+'Assumption-(MedSupplies)'!H$67)</f>
        <v>87450.312499999942</v>
      </c>
      <c r="U24" s="5"/>
    </row>
    <row r="25" spans="2:21" ht="12.5" x14ac:dyDescent="0.25">
      <c r="B25" s="18" t="s">
        <v>26</v>
      </c>
      <c r="C25" s="9"/>
      <c r="D25" s="14">
        <f>'Assumption-(MedSupplies)'!$D84/12</f>
        <v>0</v>
      </c>
      <c r="E25" s="14">
        <f>'Assumption-(MedSupplies)'!$D84/12</f>
        <v>0</v>
      </c>
      <c r="F25" s="14">
        <f>'Assumption-(MedSupplies)'!$D84/12</f>
        <v>0</v>
      </c>
      <c r="G25" s="14">
        <f>'Assumption-(MedSupplies)'!$D84/12</f>
        <v>0</v>
      </c>
      <c r="H25" s="14">
        <f>'Assumption-(MedSupplies)'!$D84/12</f>
        <v>0</v>
      </c>
      <c r="I25" s="14">
        <f>'Assumption-(MedSupplies)'!$D84/12</f>
        <v>0</v>
      </c>
      <c r="J25" s="14">
        <f>'Assumption-(MedSupplies)'!$D84/12</f>
        <v>0</v>
      </c>
      <c r="K25" s="14">
        <f>'Assumption-(MedSupplies)'!$D84/12</f>
        <v>0</v>
      </c>
      <c r="L25" s="14">
        <f>'Assumption-(MedSupplies)'!$D84/12</f>
        <v>0</v>
      </c>
      <c r="M25" s="14">
        <f>'Assumption-(MedSupplies)'!$D84/12</f>
        <v>0</v>
      </c>
      <c r="N25" s="14">
        <f>'Assumption-(MedSupplies)'!$D84/12</f>
        <v>0</v>
      </c>
      <c r="O25" s="14">
        <f>'Assumption-(MedSupplies)'!$D84/12</f>
        <v>0</v>
      </c>
      <c r="P25" s="11">
        <f t="shared" si="4"/>
        <v>0</v>
      </c>
      <c r="Q25" s="12">
        <f>P25*(1+'Assumption-(MedSupplies)'!E$67)</f>
        <v>0</v>
      </c>
      <c r="R25" s="12">
        <f>Q25*(1+'Assumption-(MedSupplies)'!F$67)</f>
        <v>0</v>
      </c>
      <c r="S25" s="12">
        <f>R25*(1+'Assumption-(MedSupplies)'!G$67)</f>
        <v>0</v>
      </c>
      <c r="T25" s="12">
        <f>S25*(1+'Assumption-(MedSupplies)'!H$67)</f>
        <v>0</v>
      </c>
      <c r="U25" s="5"/>
    </row>
    <row r="26" spans="2:21" ht="12.5" x14ac:dyDescent="0.25">
      <c r="B26" s="18" t="s">
        <v>25</v>
      </c>
      <c r="C26" s="9"/>
      <c r="D26" s="14">
        <f>'Assumption-(MedSupplies)'!$D85/12</f>
        <v>16666.666666666668</v>
      </c>
      <c r="E26" s="14">
        <f>'Assumption-(MedSupplies)'!$D85/12</f>
        <v>16666.666666666668</v>
      </c>
      <c r="F26" s="14">
        <f>'Assumption-(MedSupplies)'!$D85/12</f>
        <v>16666.666666666668</v>
      </c>
      <c r="G26" s="14">
        <f>'Assumption-(MedSupplies)'!$D85/12</f>
        <v>16666.666666666668</v>
      </c>
      <c r="H26" s="14">
        <f>'Assumption-(MedSupplies)'!$D85/12</f>
        <v>16666.666666666668</v>
      </c>
      <c r="I26" s="14">
        <f>'Assumption-(MedSupplies)'!$D85/12</f>
        <v>16666.666666666668</v>
      </c>
      <c r="J26" s="14">
        <f>'Assumption-(MedSupplies)'!$D85/12</f>
        <v>16666.666666666668</v>
      </c>
      <c r="K26" s="14">
        <f>'Assumption-(MedSupplies)'!$D85/12</f>
        <v>16666.666666666668</v>
      </c>
      <c r="L26" s="14">
        <f>'Assumption-(MedSupplies)'!$D85/12</f>
        <v>16666.666666666668</v>
      </c>
      <c r="M26" s="14">
        <f>'Assumption-(MedSupplies)'!$D85/12</f>
        <v>16666.666666666668</v>
      </c>
      <c r="N26" s="14">
        <f>'Assumption-(MedSupplies)'!$D85/12</f>
        <v>16666.666666666668</v>
      </c>
      <c r="O26" s="14">
        <f>'Assumption-(MedSupplies)'!$D85/12</f>
        <v>16666.666666666668</v>
      </c>
      <c r="P26" s="11">
        <f t="shared" si="4"/>
        <v>199999.99999999997</v>
      </c>
      <c r="Q26" s="12">
        <f>P26*(1+'Assumption-(MedSupplies)'!E$67)</f>
        <v>229999.99999999994</v>
      </c>
      <c r="R26" s="12">
        <f>Q26*(1+'Assumption-(MedSupplies)'!F$67)</f>
        <v>264499.99999999988</v>
      </c>
      <c r="S26" s="12">
        <f>R26*(1+'Assumption-(MedSupplies)'!G$67)</f>
        <v>304174.99999999983</v>
      </c>
      <c r="T26" s="12">
        <f>S26*(1+'Assumption-(MedSupplies)'!H$67)</f>
        <v>349801.24999999977</v>
      </c>
      <c r="U26" s="5"/>
    </row>
    <row r="27" spans="2:21" ht="12.5" x14ac:dyDescent="0.25">
      <c r="B27" s="18" t="s">
        <v>24</v>
      </c>
      <c r="C27" s="9"/>
      <c r="D27" s="14">
        <f>'Assumption-(MedSupplies)'!$D86/12</f>
        <v>0</v>
      </c>
      <c r="E27" s="14">
        <f>'Assumption-(MedSupplies)'!$D86/12</f>
        <v>0</v>
      </c>
      <c r="F27" s="14">
        <f>'Assumption-(MedSupplies)'!$D86/12</f>
        <v>0</v>
      </c>
      <c r="G27" s="14">
        <f>'Assumption-(MedSupplies)'!$D86/12</f>
        <v>0</v>
      </c>
      <c r="H27" s="14">
        <f>'Assumption-(MedSupplies)'!$D86/12</f>
        <v>0</v>
      </c>
      <c r="I27" s="14">
        <f>'Assumption-(MedSupplies)'!$D86/12</f>
        <v>0</v>
      </c>
      <c r="J27" s="14">
        <f>'Assumption-(MedSupplies)'!$D86/12</f>
        <v>0</v>
      </c>
      <c r="K27" s="14">
        <f>'Assumption-(MedSupplies)'!$D86/12</f>
        <v>0</v>
      </c>
      <c r="L27" s="14">
        <f>'Assumption-(MedSupplies)'!$D86/12</f>
        <v>0</v>
      </c>
      <c r="M27" s="14">
        <f>'Assumption-(MedSupplies)'!$D86/12</f>
        <v>0</v>
      </c>
      <c r="N27" s="14">
        <f>'Assumption-(MedSupplies)'!$D86/12</f>
        <v>0</v>
      </c>
      <c r="O27" s="14">
        <f>'Assumption-(MedSupplies)'!$D86/12</f>
        <v>0</v>
      </c>
      <c r="P27" s="11">
        <f t="shared" si="4"/>
        <v>0</v>
      </c>
      <c r="Q27" s="12">
        <f>P27*(1+'Assumption-(MedSupplies)'!E$67)</f>
        <v>0</v>
      </c>
      <c r="R27" s="12">
        <f>Q27*(1+'Assumption-(MedSupplies)'!F$67)</f>
        <v>0</v>
      </c>
      <c r="S27" s="12">
        <f>R27*(1+'Assumption-(MedSupplies)'!G$67)</f>
        <v>0</v>
      </c>
      <c r="T27" s="12">
        <f>S27*(1+'Assumption-(MedSupplies)'!H$67)</f>
        <v>0</v>
      </c>
      <c r="U27" s="5"/>
    </row>
    <row r="28" spans="2:21" ht="12.5" x14ac:dyDescent="0.25">
      <c r="B28" s="18" t="s">
        <v>23</v>
      </c>
      <c r="C28" s="9"/>
      <c r="D28" s="14">
        <f>'Assumption-(MedSupplies)'!$D88/12</f>
        <v>0</v>
      </c>
      <c r="E28" s="14">
        <f>'Assumption-(MedSupplies)'!$D88/12</f>
        <v>0</v>
      </c>
      <c r="F28" s="14">
        <f>'Assumption-(MedSupplies)'!$D88/12</f>
        <v>0</v>
      </c>
      <c r="G28" s="14">
        <f>'Assumption-(MedSupplies)'!$D88/12</f>
        <v>0</v>
      </c>
      <c r="H28" s="14">
        <f>'Assumption-(MedSupplies)'!$D88/12</f>
        <v>0</v>
      </c>
      <c r="I28" s="14">
        <f>'Assumption-(MedSupplies)'!$D88/12</f>
        <v>0</v>
      </c>
      <c r="J28" s="14">
        <f>'Assumption-(MedSupplies)'!$D88/12</f>
        <v>0</v>
      </c>
      <c r="K28" s="14">
        <f>'Assumption-(MedSupplies)'!$D88/12</f>
        <v>0</v>
      </c>
      <c r="L28" s="14">
        <f>'Assumption-(MedSupplies)'!$D88/12</f>
        <v>0</v>
      </c>
      <c r="M28" s="14">
        <f>'Assumption-(MedSupplies)'!$D88/12</f>
        <v>0</v>
      </c>
      <c r="N28" s="14">
        <f>'Assumption-(MedSupplies)'!$D88/12</f>
        <v>0</v>
      </c>
      <c r="O28" s="14">
        <f>'Assumption-(MedSupplies)'!$D88/12</f>
        <v>0</v>
      </c>
      <c r="P28" s="11">
        <f t="shared" si="4"/>
        <v>0</v>
      </c>
      <c r="Q28" s="12">
        <f>P28*(1+'Assumption-(MedSupplies)'!E$67)</f>
        <v>0</v>
      </c>
      <c r="R28" s="12">
        <f>Q28*(1+'Assumption-(MedSupplies)'!F$67)</f>
        <v>0</v>
      </c>
      <c r="S28" s="12">
        <f>R28*(1+'Assumption-(MedSupplies)'!G$67)</f>
        <v>0</v>
      </c>
      <c r="T28" s="12">
        <f>S28*(1+'Assumption-(MedSupplies)'!H$67)</f>
        <v>0</v>
      </c>
      <c r="U28" s="5"/>
    </row>
    <row r="29" spans="2:21" ht="12.5" x14ac:dyDescent="0.25">
      <c r="B29" s="18" t="s">
        <v>22</v>
      </c>
      <c r="C29" s="9"/>
      <c r="D29" s="14">
        <f>'Assumption-(MedSupplies)'!$D89/12</f>
        <v>20833.333333333332</v>
      </c>
      <c r="E29" s="14">
        <f>'Assumption-(MedSupplies)'!$D89/12</f>
        <v>20833.333333333332</v>
      </c>
      <c r="F29" s="14">
        <f>'Assumption-(MedSupplies)'!$D89/12</f>
        <v>20833.333333333332</v>
      </c>
      <c r="G29" s="14">
        <f>'Assumption-(MedSupplies)'!$D89/12</f>
        <v>20833.333333333332</v>
      </c>
      <c r="H29" s="14">
        <f>'Assumption-(MedSupplies)'!$D89/12</f>
        <v>20833.333333333332</v>
      </c>
      <c r="I29" s="14">
        <f>'Assumption-(MedSupplies)'!$D89/12</f>
        <v>20833.333333333332</v>
      </c>
      <c r="J29" s="14">
        <f>'Assumption-(MedSupplies)'!$D89/12</f>
        <v>20833.333333333332</v>
      </c>
      <c r="K29" s="14">
        <f>'Assumption-(MedSupplies)'!$D89/12</f>
        <v>20833.333333333332</v>
      </c>
      <c r="L29" s="14">
        <f>'Assumption-(MedSupplies)'!$D89/12</f>
        <v>20833.333333333332</v>
      </c>
      <c r="M29" s="14">
        <f>'Assumption-(MedSupplies)'!$D89/12</f>
        <v>20833.333333333332</v>
      </c>
      <c r="N29" s="14">
        <f>'Assumption-(MedSupplies)'!$D89/12</f>
        <v>20833.333333333332</v>
      </c>
      <c r="O29" s="14">
        <f>'Assumption-(MedSupplies)'!$D89/12</f>
        <v>20833.333333333332</v>
      </c>
      <c r="P29" s="11">
        <f t="shared" si="4"/>
        <v>250000.00000000003</v>
      </c>
      <c r="Q29" s="12">
        <f>P29*(1+'Assumption-(MedSupplies)'!E$67)</f>
        <v>287500</v>
      </c>
      <c r="R29" s="12">
        <f>Q29*(1+'Assumption-(MedSupplies)'!F$67)</f>
        <v>330625</v>
      </c>
      <c r="S29" s="12">
        <f>R29*(1+'Assumption-(MedSupplies)'!G$67)</f>
        <v>380218.74999999994</v>
      </c>
      <c r="T29" s="12">
        <f>S29*(1+'Assumption-(MedSupplies)'!H$67)</f>
        <v>437251.56249999988</v>
      </c>
      <c r="U29" s="5"/>
    </row>
    <row r="30" spans="2:21" ht="7.5" customHeight="1" thickBot="1" x14ac:dyDescent="0.4">
      <c r="B30" s="19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5"/>
    </row>
    <row r="31" spans="2:21" ht="13" thickBot="1" x14ac:dyDescent="0.4">
      <c r="B31" s="21" t="s">
        <v>38</v>
      </c>
      <c r="C31" s="13"/>
      <c r="D31" s="13">
        <f t="shared" ref="D31:T31" si="5">SUM(D20:D29)</f>
        <v>432166.66666666669</v>
      </c>
      <c r="E31" s="13">
        <f t="shared" si="5"/>
        <v>432166.66666666669</v>
      </c>
      <c r="F31" s="13">
        <f t="shared" si="5"/>
        <v>432166.66666666669</v>
      </c>
      <c r="G31" s="13">
        <f t="shared" si="5"/>
        <v>432166.66666666669</v>
      </c>
      <c r="H31" s="13">
        <f t="shared" si="5"/>
        <v>432166.66666666669</v>
      </c>
      <c r="I31" s="13">
        <f t="shared" si="5"/>
        <v>432166.66666666669</v>
      </c>
      <c r="J31" s="13">
        <f t="shared" si="5"/>
        <v>432166.66666666669</v>
      </c>
      <c r="K31" s="13">
        <f t="shared" si="5"/>
        <v>432166.66666666669</v>
      </c>
      <c r="L31" s="13">
        <f t="shared" si="5"/>
        <v>432166.66666666669</v>
      </c>
      <c r="M31" s="13">
        <f t="shared" si="5"/>
        <v>432166.66666666669</v>
      </c>
      <c r="N31" s="13">
        <f t="shared" si="5"/>
        <v>432166.66666666669</v>
      </c>
      <c r="O31" s="13">
        <f t="shared" si="5"/>
        <v>432166.66666666669</v>
      </c>
      <c r="P31" s="13">
        <f t="shared" si="5"/>
        <v>5186000</v>
      </c>
      <c r="Q31" s="13">
        <f t="shared" si="5"/>
        <v>5963900</v>
      </c>
      <c r="R31" s="13">
        <f t="shared" si="5"/>
        <v>6858485</v>
      </c>
      <c r="S31" s="13">
        <f t="shared" si="5"/>
        <v>7887257.7499999991</v>
      </c>
      <c r="T31" s="13">
        <f t="shared" si="5"/>
        <v>9070346.4124999978</v>
      </c>
      <c r="U31" s="5"/>
    </row>
    <row r="32" spans="2:21" ht="12.5" x14ac:dyDescent="0.25">
      <c r="B32" s="18"/>
      <c r="C32" s="9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1"/>
      <c r="Q32" s="12"/>
      <c r="R32" s="12"/>
      <c r="S32" s="12"/>
      <c r="T32" s="12"/>
      <c r="U32" s="5"/>
    </row>
    <row r="33" spans="2:21" ht="13" thickBot="1" x14ac:dyDescent="0.4">
      <c r="B33" s="16" t="s">
        <v>6</v>
      </c>
      <c r="C33" s="6"/>
      <c r="D33" s="31">
        <f t="shared" ref="D33:T33" si="6">D17-D31</f>
        <v>17567833.333333332</v>
      </c>
      <c r="E33" s="31">
        <f t="shared" si="6"/>
        <v>17567833.333333332</v>
      </c>
      <c r="F33" s="31">
        <f t="shared" si="6"/>
        <v>123567833.33333333</v>
      </c>
      <c r="G33" s="31">
        <f t="shared" si="6"/>
        <v>17567833.333333332</v>
      </c>
      <c r="H33" s="31">
        <f t="shared" si="6"/>
        <v>17567833.333333332</v>
      </c>
      <c r="I33" s="31">
        <f t="shared" si="6"/>
        <v>123567833.33333333</v>
      </c>
      <c r="J33" s="31">
        <f t="shared" si="6"/>
        <v>17567833.333333332</v>
      </c>
      <c r="K33" s="31">
        <f t="shared" si="6"/>
        <v>17567833.333333332</v>
      </c>
      <c r="L33" s="31">
        <f t="shared" si="6"/>
        <v>123567833.33333333</v>
      </c>
      <c r="M33" s="31">
        <f t="shared" si="6"/>
        <v>17567833.333333332</v>
      </c>
      <c r="N33" s="31">
        <f t="shared" si="6"/>
        <v>17567833.333333332</v>
      </c>
      <c r="O33" s="31">
        <f t="shared" si="6"/>
        <v>123567833.33333333</v>
      </c>
      <c r="P33" s="31">
        <f t="shared" si="6"/>
        <v>634814000</v>
      </c>
      <c r="Q33" s="31">
        <f t="shared" si="6"/>
        <v>1056436100</v>
      </c>
      <c r="R33" s="31">
        <f t="shared" si="6"/>
        <v>1476917514.9999995</v>
      </c>
      <c r="S33" s="31">
        <f t="shared" si="6"/>
        <v>2039723622.2499988</v>
      </c>
      <c r="T33" s="31">
        <f t="shared" si="6"/>
        <v>2850271989.5874982</v>
      </c>
      <c r="U33" s="5"/>
    </row>
    <row r="34" spans="2:21" ht="13" thickBot="1" x14ac:dyDescent="0.4">
      <c r="B34" s="1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5"/>
      <c r="Q34" s="15"/>
      <c r="R34" s="15"/>
      <c r="S34" s="15"/>
      <c r="T34" s="15"/>
      <c r="U34" s="5"/>
    </row>
    <row r="35" spans="2:21" ht="13" thickBot="1" x14ac:dyDescent="0.4">
      <c r="B35" s="16" t="s">
        <v>40</v>
      </c>
      <c r="C35" s="6"/>
      <c r="D35" s="8">
        <f>D33</f>
        <v>17567833.333333332</v>
      </c>
      <c r="E35" s="32">
        <f>D35+E33</f>
        <v>35135666.666666664</v>
      </c>
      <c r="F35" s="32">
        <f>E35+F33</f>
        <v>158703500</v>
      </c>
      <c r="G35" s="32">
        <f t="shared" ref="G35:N35" si="7">F35+G33</f>
        <v>176271333.33333334</v>
      </c>
      <c r="H35" s="32">
        <f t="shared" si="7"/>
        <v>193839166.66666669</v>
      </c>
      <c r="I35" s="32">
        <f t="shared" si="7"/>
        <v>317407000</v>
      </c>
      <c r="J35" s="32">
        <f t="shared" si="7"/>
        <v>334974833.33333331</v>
      </c>
      <c r="K35" s="32">
        <f t="shared" si="7"/>
        <v>352542666.66666663</v>
      </c>
      <c r="L35" s="32">
        <f t="shared" si="7"/>
        <v>476110499.99999994</v>
      </c>
      <c r="M35" s="32">
        <f t="shared" si="7"/>
        <v>493678333.33333325</v>
      </c>
      <c r="N35" s="32">
        <f t="shared" si="7"/>
        <v>511246166.66666657</v>
      </c>
      <c r="O35" s="32">
        <f>N35+O33</f>
        <v>634813999.99999988</v>
      </c>
      <c r="P35" s="15">
        <f>P33</f>
        <v>634814000</v>
      </c>
      <c r="Q35" s="15">
        <f>P35+Q33</f>
        <v>1691250100</v>
      </c>
      <c r="R35" s="15">
        <f t="shared" ref="R35:T35" si="8">Q35+R33</f>
        <v>3168167614.9999995</v>
      </c>
      <c r="S35" s="15">
        <f t="shared" si="8"/>
        <v>5207891237.2499981</v>
      </c>
      <c r="T35" s="15">
        <f t="shared" si="8"/>
        <v>8058163226.8374958</v>
      </c>
      <c r="U35" s="5"/>
    </row>
    <row r="36" spans="2:21" ht="13" thickBot="1" x14ac:dyDescent="0.4">
      <c r="B36" s="1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5"/>
      <c r="Q36" s="15"/>
      <c r="R36" s="15"/>
      <c r="S36" s="15"/>
      <c r="T36" s="15"/>
      <c r="U36" s="5"/>
    </row>
    <row r="37" spans="2:21" ht="13" thickBot="1" x14ac:dyDescent="0.4">
      <c r="B37" s="16" t="s">
        <v>41</v>
      </c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5"/>
      <c r="Q37" s="15"/>
      <c r="R37" s="15"/>
      <c r="S37" s="15"/>
      <c r="T37" s="15"/>
      <c r="U37" s="5"/>
    </row>
    <row r="38" spans="2:21" ht="13" thickBot="1" x14ac:dyDescent="0.4">
      <c r="B38" s="1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5"/>
      <c r="Q38" s="15"/>
      <c r="R38" s="15"/>
      <c r="S38" s="15"/>
      <c r="T38" s="15"/>
      <c r="U38" s="5"/>
    </row>
    <row r="39" spans="2:21" ht="13" thickBot="1" x14ac:dyDescent="0.4">
      <c r="B39" s="16" t="s">
        <v>42</v>
      </c>
      <c r="C39" s="6"/>
      <c r="D39" s="33">
        <f>D35-D37</f>
        <v>17567833.333333332</v>
      </c>
      <c r="E39" s="33">
        <f t="shared" ref="E39:O39" si="9">E35-E37</f>
        <v>35135666.666666664</v>
      </c>
      <c r="F39" s="33">
        <f t="shared" si="9"/>
        <v>158703500</v>
      </c>
      <c r="G39" s="33">
        <f t="shared" si="9"/>
        <v>176271333.33333334</v>
      </c>
      <c r="H39" s="33">
        <f t="shared" si="9"/>
        <v>193839166.66666669</v>
      </c>
      <c r="I39" s="33">
        <f t="shared" si="9"/>
        <v>317407000</v>
      </c>
      <c r="J39" s="33">
        <f t="shared" si="9"/>
        <v>334974833.33333331</v>
      </c>
      <c r="K39" s="33">
        <f t="shared" si="9"/>
        <v>352542666.66666663</v>
      </c>
      <c r="L39" s="33">
        <f t="shared" si="9"/>
        <v>476110499.99999994</v>
      </c>
      <c r="M39" s="33">
        <f t="shared" si="9"/>
        <v>493678333.33333325</v>
      </c>
      <c r="N39" s="33">
        <f t="shared" si="9"/>
        <v>511246166.66666657</v>
      </c>
      <c r="O39" s="33">
        <f t="shared" si="9"/>
        <v>634813999.99999988</v>
      </c>
      <c r="P39" s="15">
        <f>P35-P37</f>
        <v>634814000</v>
      </c>
      <c r="Q39" s="15">
        <f t="shared" ref="Q39:T39" si="10">Q35-Q37</f>
        <v>1691250100</v>
      </c>
      <c r="R39" s="15">
        <f t="shared" si="10"/>
        <v>3168167614.9999995</v>
      </c>
      <c r="S39" s="15">
        <f t="shared" si="10"/>
        <v>5207891237.2499981</v>
      </c>
      <c r="T39" s="15">
        <f t="shared" si="10"/>
        <v>8058163226.8374958</v>
      </c>
      <c r="U39" s="5"/>
    </row>
    <row r="40" spans="2:21" ht="13" thickBot="1" x14ac:dyDescent="0.4">
      <c r="B40" s="1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5"/>
      <c r="Q40" s="15"/>
      <c r="R40" s="15"/>
      <c r="S40" s="15"/>
      <c r="T40" s="15"/>
      <c r="U40" s="5"/>
    </row>
    <row r="41" spans="2:21" ht="13" thickBot="1" x14ac:dyDescent="0.4">
      <c r="B41" s="16" t="s">
        <v>43</v>
      </c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7" t="str">
        <f>IF(P39&gt;0,"1 Year"," ")</f>
        <v>1 Year</v>
      </c>
      <c r="Q41" s="7" t="str">
        <f>IF(Q39&gt;0,"2 Year"," ")</f>
        <v>2 Year</v>
      </c>
      <c r="R41" s="7" t="str">
        <f>IF(R39&gt;0,"3 Year"," ")</f>
        <v>3 Year</v>
      </c>
      <c r="S41" s="7" t="str">
        <f>IF(S39&gt;0,"4 Year"," ")</f>
        <v>4 Year</v>
      </c>
      <c r="T41" s="7" t="str">
        <f>IF(T39&gt;0,"5 Year"," ")</f>
        <v>5 Year</v>
      </c>
    </row>
    <row r="42" spans="2:21" x14ac:dyDescent="0.35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2:21" x14ac:dyDescent="0.35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</row>
    <row r="44" spans="2:21" x14ac:dyDescent="0.35"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</row>
  </sheetData>
  <phoneticPr fontId="4" type="noConversion"/>
  <pageMargins left="0.7" right="0.7" top="0.75" bottom="0.75" header="0.3" footer="0.3"/>
  <pageSetup scale="43" orientation="portrait" r:id="rId1"/>
  <ignoredErrors>
    <ignoredError sqref="P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Assumption-(MedSupplies)</vt:lpstr>
      <vt:lpstr>Computations-(MedSupplies)</vt:lpstr>
      <vt:lpstr>Computations-Outputs</vt:lpstr>
      <vt:lpstr>'Assumption-(MedSupplies)'!Print_Area</vt:lpstr>
      <vt:lpstr>'Computations-(MedSupplies)'!Print_Area</vt:lpstr>
      <vt:lpstr>'Computations-Outputs'!Print_Area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john.aigbonohan@medburymedicals.com</dc:creator>
  <cp:lastModifiedBy>MMS PHIA Chief Operational Officer</cp:lastModifiedBy>
  <dcterms:created xsi:type="dcterms:W3CDTF">2023-05-03T11:38:25Z</dcterms:created>
  <dcterms:modified xsi:type="dcterms:W3CDTF">2025-05-03T12:04:17Z</dcterms:modified>
</cp:coreProperties>
</file>