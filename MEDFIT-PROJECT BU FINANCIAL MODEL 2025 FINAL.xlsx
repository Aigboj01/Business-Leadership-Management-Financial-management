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A4ADD5-DB52-444E-B8F8-E51911C9319D}" xr6:coauthVersionLast="47" xr6:coauthVersionMax="47" xr10:uidLastSave="{00000000-0000-0000-0000-000000000000}"/>
  <bookViews>
    <workbookView xWindow="-110" yWindow="-110" windowWidth="19420" windowHeight="10300" activeTab="1" xr2:uid="{4CFB4E10-6229-41B1-9DCA-0EAE63BFE968}"/>
  </bookViews>
  <sheets>
    <sheet name="Assumption-(MedFit)" sheetId="5" r:id="rId1"/>
    <sheet name="Computations-(MedFit)" sheetId="8" r:id="rId2"/>
    <sheet name="Computations-Outputs" sheetId="4" state="hidden" r:id="rId3"/>
  </sheet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ANS">#REF!</definedName>
    <definedName name="OLDMAN">#REF!</definedName>
    <definedName name="PAC">#REF!</definedName>
    <definedName name="PL">#REF!</definedName>
    <definedName name="_xlnm.Print_Area" localSheetId="0">'Assumption-(MedFit)'!$A$1:$O$97</definedName>
    <definedName name="_xlnm.Print_Area" localSheetId="1">'Computations-(MedFit)'!$A$1:$T$49</definedName>
    <definedName name="_xlnm.Print_Area" localSheetId="2">'Computations-Outputs'!$A$1:$T$41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5" l="1"/>
  <c r="P46" i="5" l="1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9" i="5"/>
  <c r="U110" i="5"/>
  <c r="U111" i="5"/>
  <c r="U108" i="5"/>
  <c r="U109" i="5"/>
  <c r="U106" i="5"/>
  <c r="D26" i="8" l="1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D90" i="5"/>
  <c r="D27" i="8" s="1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S112" i="5"/>
  <c r="D91" i="5"/>
  <c r="D28" i="8" s="1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D93" i="5"/>
  <c r="D30" i="8" s="1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D88" i="5"/>
  <c r="D25" i="8" s="1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36" i="5" l="1"/>
  <c r="R36" i="5" s="1"/>
  <c r="P27" i="8"/>
  <c r="Q27" i="8" s="1"/>
  <c r="R27" i="8" s="1"/>
  <c r="S27" i="8" s="1"/>
  <c r="T27" i="8" s="1"/>
  <c r="P31" i="8"/>
  <c r="Q31" i="8" s="1"/>
  <c r="R31" i="8" s="1"/>
  <c r="S31" i="8" s="1"/>
  <c r="T31" i="8" s="1"/>
  <c r="S36" i="5" l="1"/>
  <c r="D87" i="5"/>
  <c r="D24" i="8" s="1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D95" i="5"/>
  <c r="D32" i="8" s="1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D41" i="8" l="1"/>
  <c r="V118" i="5"/>
  <c r="D21" i="8" s="1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D84" i="5" l="1"/>
  <c r="P34" i="8"/>
  <c r="Q34" i="8" s="1"/>
  <c r="R34" i="8" s="1"/>
  <c r="S34" i="8" s="1"/>
  <c r="T34" i="8" s="1"/>
  <c r="V107" i="5" l="1"/>
  <c r="V106" i="5"/>
  <c r="V102" i="5"/>
  <c r="V103" i="5"/>
  <c r="V104" i="5"/>
  <c r="V105" i="5"/>
  <c r="V108" i="5"/>
  <c r="V109" i="5"/>
  <c r="V110" i="5"/>
  <c r="V111" i="5"/>
  <c r="V101" i="5"/>
  <c r="E68" i="5" l="1"/>
  <c r="D23" i="5"/>
  <c r="E67" i="5"/>
  <c r="E65" i="5"/>
  <c r="F65" i="5" l="1"/>
  <c r="G65" i="5" s="1"/>
  <c r="H65" i="5" s="1"/>
  <c r="I65" i="5" s="1"/>
  <c r="J65" i="5" s="1"/>
  <c r="K65" i="5" s="1"/>
  <c r="L65" i="5" s="1"/>
  <c r="M65" i="5" s="1"/>
  <c r="N65" i="5" s="1"/>
  <c r="O65" i="5" s="1"/>
  <c r="F67" i="5"/>
  <c r="G67" i="5" s="1"/>
  <c r="H67" i="5" s="1"/>
  <c r="I67" i="5" s="1"/>
  <c r="J67" i="5" s="1"/>
  <c r="K67" i="5" s="1"/>
  <c r="L67" i="5" s="1"/>
  <c r="M67" i="5" s="1"/>
  <c r="N67" i="5" s="1"/>
  <c r="O67" i="5" s="1"/>
  <c r="O23" i="5" s="1"/>
  <c r="F68" i="5"/>
  <c r="G68" i="5" s="1"/>
  <c r="H68" i="5" s="1"/>
  <c r="I68" i="5" s="1"/>
  <c r="J68" i="5" s="1"/>
  <c r="K68" i="5" s="1"/>
  <c r="L68" i="5" s="1"/>
  <c r="M68" i="5" s="1"/>
  <c r="N68" i="5" s="1"/>
  <c r="O68" i="5" s="1"/>
  <c r="P63" i="5"/>
  <c r="K64" i="5"/>
  <c r="L64" i="5" s="1"/>
  <c r="M64" i="5" s="1"/>
  <c r="N64" i="5" s="1"/>
  <c r="O64" i="5" s="1"/>
  <c r="V112" i="5"/>
  <c r="D78" i="5" s="1"/>
  <c r="E23" i="5"/>
  <c r="P45" i="5"/>
  <c r="I23" i="5" l="1"/>
  <c r="P68" i="5"/>
  <c r="G23" i="5"/>
  <c r="P65" i="5"/>
  <c r="K23" i="5"/>
  <c r="J23" i="5"/>
  <c r="M23" i="5"/>
  <c r="L23" i="5"/>
  <c r="P67" i="5"/>
  <c r="H23" i="5"/>
  <c r="N23" i="5"/>
  <c r="F23" i="5"/>
  <c r="P64" i="5"/>
  <c r="D12" i="8"/>
  <c r="P23" i="5" l="1"/>
  <c r="V40" i="5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S50" i="5" l="1"/>
  <c r="T50" i="5" s="1"/>
  <c r="V50" i="5" s="1"/>
  <c r="W50" i="5" s="1"/>
  <c r="X50" i="5" s="1"/>
  <c r="Y50" i="5" s="1"/>
  <c r="Z50" i="5" s="1"/>
  <c r="AA50" i="5" s="1"/>
  <c r="AB50" i="5" s="1"/>
  <c r="AC50" i="5" s="1"/>
  <c r="AD50" i="5" s="1"/>
  <c r="S49" i="5"/>
  <c r="T49" i="5" s="1"/>
  <c r="V49" i="5" s="1"/>
  <c r="W49" i="5" s="1"/>
  <c r="X49" i="5" s="1"/>
  <c r="Y49" i="5" s="1"/>
  <c r="Z49" i="5" s="1"/>
  <c r="AA49" i="5" s="1"/>
  <c r="AB49" i="5" s="1"/>
  <c r="AC49" i="5" s="1"/>
  <c r="AD49" i="5" s="1"/>
  <c r="E41" i="8" l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E12" i="8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B6" i="8"/>
  <c r="P41" i="8" l="1"/>
  <c r="Q41" i="8" s="1"/>
  <c r="R41" i="8" s="1"/>
  <c r="S41" i="8" s="1"/>
  <c r="T41" i="8" s="1"/>
  <c r="P26" i="8"/>
  <c r="Q26" i="8" s="1"/>
  <c r="R26" i="8" s="1"/>
  <c r="S26" i="8" s="1"/>
  <c r="T26" i="8" s="1"/>
  <c r="P32" i="8"/>
  <c r="Q32" i="8" s="1"/>
  <c r="R32" i="8" s="1"/>
  <c r="S32" i="8" s="1"/>
  <c r="T32" i="8" s="1"/>
  <c r="P24" i="8"/>
  <c r="Q24" i="8" s="1"/>
  <c r="R24" i="8" s="1"/>
  <c r="S24" i="8" s="1"/>
  <c r="T24" i="8" s="1"/>
  <c r="P28" i="8"/>
  <c r="Q28" i="8" s="1"/>
  <c r="R28" i="8" s="1"/>
  <c r="S28" i="8" s="1"/>
  <c r="T28" i="8" s="1"/>
  <c r="P29" i="8"/>
  <c r="Q29" i="8" s="1"/>
  <c r="R29" i="8" s="1"/>
  <c r="S29" i="8" s="1"/>
  <c r="T29" i="8" s="1"/>
  <c r="P33" i="8"/>
  <c r="Q33" i="8" s="1"/>
  <c r="R33" i="8" s="1"/>
  <c r="S33" i="8" s="1"/>
  <c r="T33" i="8" s="1"/>
  <c r="P25" i="8" l="1"/>
  <c r="Q25" i="8" s="1"/>
  <c r="R25" i="8" s="1"/>
  <c r="S25" i="8" s="1"/>
  <c r="T25" i="8" s="1"/>
  <c r="P30" i="8"/>
  <c r="Q30" i="8" s="1"/>
  <c r="R30" i="8" s="1"/>
  <c r="S30" i="8" s="1"/>
  <c r="T30" i="8" s="1"/>
  <c r="P44" i="5" l="1"/>
  <c r="P43" i="5"/>
  <c r="R43" i="5" s="1"/>
  <c r="P42" i="5"/>
  <c r="S42" i="5" s="1"/>
  <c r="P41" i="5"/>
  <c r="R41" i="5" s="1"/>
  <c r="P40" i="5"/>
  <c r="S40" i="5" s="1"/>
  <c r="P39" i="5"/>
  <c r="S39" i="5" s="1"/>
  <c r="P38" i="5"/>
  <c r="R38" i="5" s="1"/>
  <c r="P37" i="5"/>
  <c r="R37" i="5" s="1"/>
  <c r="P31" i="5"/>
  <c r="P30" i="5"/>
  <c r="P29" i="5"/>
  <c r="P28" i="5"/>
  <c r="S43" i="5" l="1"/>
  <c r="S41" i="5"/>
  <c r="S38" i="5"/>
  <c r="S37" i="5"/>
  <c r="P21" i="8" l="1"/>
  <c r="Q21" i="8" s="1"/>
  <c r="R21" i="8" l="1"/>
  <c r="D7" i="5"/>
  <c r="O8" i="5"/>
  <c r="N8" i="5"/>
  <c r="M8" i="5"/>
  <c r="L8" i="5"/>
  <c r="K8" i="5"/>
  <c r="J8" i="5"/>
  <c r="I8" i="5"/>
  <c r="H8" i="5"/>
  <c r="G8" i="5"/>
  <c r="F8" i="5"/>
  <c r="E8" i="5"/>
  <c r="D8" i="5"/>
  <c r="E9" i="5"/>
  <c r="F9" i="5"/>
  <c r="G9" i="5"/>
  <c r="H9" i="5"/>
  <c r="I9" i="5"/>
  <c r="J9" i="5"/>
  <c r="K9" i="5"/>
  <c r="L9" i="5"/>
  <c r="M9" i="5"/>
  <c r="N9" i="5"/>
  <c r="O9" i="5"/>
  <c r="D9" i="5"/>
  <c r="S21" i="8" l="1"/>
  <c r="P9" i="5"/>
  <c r="P8" i="5"/>
  <c r="E6" i="5"/>
  <c r="D6" i="5"/>
  <c r="B6" i="4"/>
  <c r="T21" i="8" l="1"/>
  <c r="D5" i="5"/>
  <c r="F7" i="5"/>
  <c r="E7" i="5"/>
  <c r="D18" i="5"/>
  <c r="D15" i="5"/>
  <c r="E22" i="5"/>
  <c r="F22" i="5"/>
  <c r="G22" i="5"/>
  <c r="H22" i="5"/>
  <c r="I22" i="5"/>
  <c r="J22" i="5"/>
  <c r="K22" i="5"/>
  <c r="L22" i="5"/>
  <c r="M22" i="5"/>
  <c r="N22" i="5"/>
  <c r="O22" i="5"/>
  <c r="D22" i="5"/>
  <c r="E19" i="5"/>
  <c r="F19" i="5"/>
  <c r="G19" i="5"/>
  <c r="H19" i="5"/>
  <c r="I19" i="5"/>
  <c r="J19" i="5"/>
  <c r="K19" i="5"/>
  <c r="L19" i="5"/>
  <c r="M19" i="5"/>
  <c r="N19" i="5"/>
  <c r="O19" i="5"/>
  <c r="E20" i="5"/>
  <c r="F20" i="5"/>
  <c r="G20" i="5"/>
  <c r="H20" i="5"/>
  <c r="I20" i="5"/>
  <c r="J20" i="5"/>
  <c r="K20" i="5"/>
  <c r="L20" i="5"/>
  <c r="M20" i="5"/>
  <c r="N20" i="5"/>
  <c r="O20" i="5"/>
  <c r="E21" i="5"/>
  <c r="F21" i="5"/>
  <c r="G21" i="5"/>
  <c r="H21" i="5"/>
  <c r="I21" i="5"/>
  <c r="J21" i="5"/>
  <c r="K21" i="5"/>
  <c r="L21" i="5"/>
  <c r="M21" i="5"/>
  <c r="N21" i="5"/>
  <c r="O21" i="5"/>
  <c r="D20" i="5"/>
  <c r="D21" i="5"/>
  <c r="D19" i="5"/>
  <c r="E14" i="5"/>
  <c r="F14" i="5"/>
  <c r="G14" i="5"/>
  <c r="H14" i="5"/>
  <c r="I14" i="5"/>
  <c r="J14" i="5"/>
  <c r="K14" i="5"/>
  <c r="L14" i="5"/>
  <c r="M14" i="5"/>
  <c r="N14" i="5"/>
  <c r="O14" i="5"/>
  <c r="E15" i="5"/>
  <c r="F15" i="5"/>
  <c r="G15" i="5"/>
  <c r="H15" i="5"/>
  <c r="I15" i="5"/>
  <c r="J15" i="5"/>
  <c r="K15" i="5"/>
  <c r="L15" i="5"/>
  <c r="M15" i="5"/>
  <c r="N15" i="5"/>
  <c r="O15" i="5"/>
  <c r="E16" i="5"/>
  <c r="F16" i="5"/>
  <c r="G16" i="5"/>
  <c r="H16" i="5"/>
  <c r="I16" i="5"/>
  <c r="J16" i="5"/>
  <c r="K16" i="5"/>
  <c r="L16" i="5"/>
  <c r="M16" i="5"/>
  <c r="N16" i="5"/>
  <c r="O16" i="5"/>
  <c r="E17" i="5"/>
  <c r="F17" i="5"/>
  <c r="G17" i="5"/>
  <c r="H17" i="5"/>
  <c r="I17" i="5"/>
  <c r="J17" i="5"/>
  <c r="K17" i="5"/>
  <c r="L17" i="5"/>
  <c r="M17" i="5"/>
  <c r="N17" i="5"/>
  <c r="O17" i="5"/>
  <c r="E18" i="5"/>
  <c r="F18" i="5"/>
  <c r="G18" i="5"/>
  <c r="H18" i="5"/>
  <c r="I18" i="5"/>
  <c r="J18" i="5"/>
  <c r="K18" i="5"/>
  <c r="L18" i="5"/>
  <c r="M18" i="5"/>
  <c r="N18" i="5"/>
  <c r="O18" i="5"/>
  <c r="D16" i="5"/>
  <c r="D17" i="5"/>
  <c r="D14" i="5"/>
  <c r="E23" i="4"/>
  <c r="F24" i="4"/>
  <c r="G29" i="4"/>
  <c r="H26" i="4"/>
  <c r="E27" i="4"/>
  <c r="E20" i="4"/>
  <c r="F28" i="4"/>
  <c r="G25" i="4"/>
  <c r="O13" i="5" l="1"/>
  <c r="O6" i="8" s="1"/>
  <c r="D6" i="4"/>
  <c r="E5" i="5"/>
  <c r="P14" i="5"/>
  <c r="P17" i="5"/>
  <c r="P21" i="5"/>
  <c r="P20" i="5"/>
  <c r="P16" i="5"/>
  <c r="P15" i="5"/>
  <c r="P19" i="5"/>
  <c r="P22" i="5"/>
  <c r="P18" i="5"/>
  <c r="G7" i="5"/>
  <c r="F6" i="5"/>
  <c r="K13" i="5"/>
  <c r="K6" i="8" s="1"/>
  <c r="G13" i="5"/>
  <c r="G6" i="8" s="1"/>
  <c r="D13" i="5"/>
  <c r="D6" i="8" s="1"/>
  <c r="F13" i="5"/>
  <c r="F6" i="8" s="1"/>
  <c r="M13" i="5"/>
  <c r="M6" i="8" s="1"/>
  <c r="E13" i="5"/>
  <c r="E6" i="8" s="1"/>
  <c r="J13" i="5"/>
  <c r="J6" i="8" s="1"/>
  <c r="I13" i="5"/>
  <c r="I6" i="8" s="1"/>
  <c r="H13" i="5"/>
  <c r="H6" i="8" s="1"/>
  <c r="N13" i="5"/>
  <c r="N6" i="8" s="1"/>
  <c r="L13" i="5"/>
  <c r="L6" i="8" s="1"/>
  <c r="H20" i="4"/>
  <c r="M28" i="4"/>
  <c r="I28" i="4"/>
  <c r="D28" i="4"/>
  <c r="E28" i="4"/>
  <c r="H27" i="4"/>
  <c r="N29" i="4"/>
  <c r="M24" i="4"/>
  <c r="L27" i="4"/>
  <c r="D20" i="4"/>
  <c r="J29" i="4"/>
  <c r="I24" i="4"/>
  <c r="L20" i="4"/>
  <c r="F29" i="4"/>
  <c r="E24" i="4"/>
  <c r="D23" i="4"/>
  <c r="K26" i="4"/>
  <c r="J25" i="4"/>
  <c r="L23" i="4"/>
  <c r="O20" i="4"/>
  <c r="K20" i="4"/>
  <c r="G20" i="4"/>
  <c r="D24" i="4"/>
  <c r="D27" i="4"/>
  <c r="M29" i="4"/>
  <c r="I29" i="4"/>
  <c r="E29" i="4"/>
  <c r="L28" i="4"/>
  <c r="H28" i="4"/>
  <c r="O27" i="4"/>
  <c r="K27" i="4"/>
  <c r="G27" i="4"/>
  <c r="N26" i="4"/>
  <c r="J26" i="4"/>
  <c r="F26" i="4"/>
  <c r="M25" i="4"/>
  <c r="I25" i="4"/>
  <c r="E25" i="4"/>
  <c r="L24" i="4"/>
  <c r="H24" i="4"/>
  <c r="O23" i="4"/>
  <c r="K23" i="4"/>
  <c r="G23" i="4"/>
  <c r="G26" i="4"/>
  <c r="H23" i="4"/>
  <c r="N20" i="4"/>
  <c r="J20" i="4"/>
  <c r="F20" i="4"/>
  <c r="D26" i="4"/>
  <c r="L29" i="4"/>
  <c r="H29" i="4"/>
  <c r="O28" i="4"/>
  <c r="K28" i="4"/>
  <c r="G28" i="4"/>
  <c r="N27" i="4"/>
  <c r="J27" i="4"/>
  <c r="F27" i="4"/>
  <c r="M26" i="4"/>
  <c r="I26" i="4"/>
  <c r="E26" i="4"/>
  <c r="L25" i="4"/>
  <c r="H25" i="4"/>
  <c r="O24" i="4"/>
  <c r="K24" i="4"/>
  <c r="G24" i="4"/>
  <c r="N23" i="4"/>
  <c r="J23" i="4"/>
  <c r="F23" i="4"/>
  <c r="O26" i="4"/>
  <c r="N25" i="4"/>
  <c r="F25" i="4"/>
  <c r="M20" i="4"/>
  <c r="I20" i="4"/>
  <c r="D29" i="4"/>
  <c r="D25" i="4"/>
  <c r="O29" i="4"/>
  <c r="K29" i="4"/>
  <c r="N28" i="4"/>
  <c r="J28" i="4"/>
  <c r="M27" i="4"/>
  <c r="I27" i="4"/>
  <c r="L26" i="4"/>
  <c r="O25" i="4"/>
  <c r="K25" i="4"/>
  <c r="N24" i="4"/>
  <c r="J24" i="4"/>
  <c r="M23" i="4"/>
  <c r="I23" i="4"/>
  <c r="P13" i="5" l="1"/>
  <c r="E6" i="4"/>
  <c r="P6" i="8"/>
  <c r="Q6" i="8" s="1"/>
  <c r="R6" i="8" s="1"/>
  <c r="S6" i="8" s="1"/>
  <c r="T6" i="8" s="1"/>
  <c r="D8" i="8"/>
  <c r="C12" i="8" s="1"/>
  <c r="E8" i="8"/>
  <c r="E13" i="8" s="1"/>
  <c r="H7" i="5"/>
  <c r="F5" i="5"/>
  <c r="G6" i="5"/>
  <c r="P24" i="4"/>
  <c r="Q24" i="4" s="1"/>
  <c r="R24" i="4" s="1"/>
  <c r="S24" i="4" s="1"/>
  <c r="T24" i="4" s="1"/>
  <c r="P28" i="4"/>
  <c r="Q28" i="4" s="1"/>
  <c r="R28" i="4" s="1"/>
  <c r="S28" i="4" s="1"/>
  <c r="T28" i="4" s="1"/>
  <c r="P25" i="4"/>
  <c r="Q25" i="4" s="1"/>
  <c r="R25" i="4" s="1"/>
  <c r="S25" i="4" s="1"/>
  <c r="T25" i="4" s="1"/>
  <c r="P26" i="4"/>
  <c r="Q26" i="4" s="1"/>
  <c r="R26" i="4" s="1"/>
  <c r="S26" i="4" s="1"/>
  <c r="T26" i="4" s="1"/>
  <c r="P20" i="4"/>
  <c r="Q20" i="4" s="1"/>
  <c r="R20" i="4" s="1"/>
  <c r="S20" i="4" s="1"/>
  <c r="T20" i="4" s="1"/>
  <c r="P27" i="4"/>
  <c r="Q27" i="4" s="1"/>
  <c r="R27" i="4" s="1"/>
  <c r="S27" i="4" s="1"/>
  <c r="T27" i="4" s="1"/>
  <c r="P29" i="4"/>
  <c r="Q29" i="4" s="1"/>
  <c r="R29" i="4" s="1"/>
  <c r="S29" i="4" s="1"/>
  <c r="T29" i="4" s="1"/>
  <c r="P23" i="4"/>
  <c r="Q23" i="4" s="1"/>
  <c r="R23" i="4" s="1"/>
  <c r="S23" i="4" s="1"/>
  <c r="T23" i="4" s="1"/>
  <c r="D11" i="8" l="1"/>
  <c r="D13" i="8"/>
  <c r="E9" i="8"/>
  <c r="D14" i="8"/>
  <c r="E11" i="8"/>
  <c r="E14" i="8"/>
  <c r="F8" i="8"/>
  <c r="F6" i="4"/>
  <c r="I7" i="5"/>
  <c r="G5" i="5"/>
  <c r="H6" i="5"/>
  <c r="B7" i="4"/>
  <c r="F9" i="8" l="1"/>
  <c r="F13" i="8"/>
  <c r="F14" i="8"/>
  <c r="F11" i="8"/>
  <c r="G6" i="4"/>
  <c r="J7" i="5"/>
  <c r="H5" i="5"/>
  <c r="I6" i="5"/>
  <c r="L7" i="4"/>
  <c r="D7" i="4"/>
  <c r="D9" i="4" s="1"/>
  <c r="N7" i="4"/>
  <c r="F7" i="4"/>
  <c r="F9" i="4" s="1"/>
  <c r="M7" i="4"/>
  <c r="E7" i="4"/>
  <c r="E9" i="4" s="1"/>
  <c r="J7" i="4"/>
  <c r="I7" i="4"/>
  <c r="K7" i="4"/>
  <c r="H7" i="4"/>
  <c r="O7" i="4"/>
  <c r="G7" i="4"/>
  <c r="G9" i="4" l="1"/>
  <c r="G8" i="8"/>
  <c r="H6" i="4"/>
  <c r="H9" i="4" s="1"/>
  <c r="H8" i="8"/>
  <c r="H13" i="8" s="1"/>
  <c r="K7" i="5"/>
  <c r="I5" i="5"/>
  <c r="J6" i="5"/>
  <c r="D21" i="4"/>
  <c r="E21" i="4"/>
  <c r="M21" i="4"/>
  <c r="F21" i="4"/>
  <c r="N21" i="4"/>
  <c r="L21" i="4"/>
  <c r="G21" i="4"/>
  <c r="O21" i="4"/>
  <c r="H21" i="4"/>
  <c r="J21" i="4"/>
  <c r="I21" i="4"/>
  <c r="K21" i="4"/>
  <c r="P7" i="4"/>
  <c r="G9" i="8" l="1"/>
  <c r="G13" i="8"/>
  <c r="H9" i="8"/>
  <c r="G11" i="8"/>
  <c r="G14" i="8"/>
  <c r="H14" i="8"/>
  <c r="H11" i="8"/>
  <c r="I6" i="4"/>
  <c r="I9" i="4" s="1"/>
  <c r="I13" i="4" s="1"/>
  <c r="I8" i="8"/>
  <c r="L7" i="5"/>
  <c r="J5" i="5"/>
  <c r="K6" i="5"/>
  <c r="Q7" i="4"/>
  <c r="F22" i="4"/>
  <c r="J22" i="4"/>
  <c r="N22" i="4"/>
  <c r="M22" i="4"/>
  <c r="G22" i="4"/>
  <c r="K22" i="4"/>
  <c r="O22" i="4"/>
  <c r="E22" i="4"/>
  <c r="H22" i="4"/>
  <c r="L22" i="4"/>
  <c r="D22" i="4"/>
  <c r="I22" i="4"/>
  <c r="H13" i="4"/>
  <c r="H12" i="4"/>
  <c r="F12" i="4"/>
  <c r="F13" i="4"/>
  <c r="E12" i="4"/>
  <c r="E13" i="4"/>
  <c r="G13" i="4"/>
  <c r="G12" i="4"/>
  <c r="D13" i="4"/>
  <c r="D12" i="4"/>
  <c r="I9" i="8" l="1"/>
  <c r="I13" i="8"/>
  <c r="I11" i="8"/>
  <c r="I14" i="8"/>
  <c r="I12" i="4"/>
  <c r="I15" i="4" s="1"/>
  <c r="J6" i="4"/>
  <c r="J9" i="4" s="1"/>
  <c r="J12" i="4" s="1"/>
  <c r="M7" i="5"/>
  <c r="K5" i="5"/>
  <c r="L6" i="5"/>
  <c r="R7" i="4"/>
  <c r="D15" i="4"/>
  <c r="D17" i="4" s="1"/>
  <c r="P22" i="4"/>
  <c r="Q22" i="4" s="1"/>
  <c r="R22" i="4" s="1"/>
  <c r="S22" i="4" s="1"/>
  <c r="T22" i="4" s="1"/>
  <c r="F15" i="4"/>
  <c r="G15" i="4"/>
  <c r="H15" i="4"/>
  <c r="E15" i="4"/>
  <c r="J13" i="4" l="1"/>
  <c r="J15" i="4" s="1"/>
  <c r="J17" i="4" s="1"/>
  <c r="K6" i="4"/>
  <c r="K9" i="4" s="1"/>
  <c r="K13" i="4" s="1"/>
  <c r="K8" i="8"/>
  <c r="K13" i="8" s="1"/>
  <c r="J8" i="8"/>
  <c r="N7" i="5"/>
  <c r="L5" i="5"/>
  <c r="M6" i="5"/>
  <c r="S7" i="4"/>
  <c r="I17" i="4"/>
  <c r="H17" i="4"/>
  <c r="E17" i="4"/>
  <c r="F17" i="4"/>
  <c r="N31" i="4"/>
  <c r="G17" i="4"/>
  <c r="J9" i="8" l="1"/>
  <c r="J13" i="8"/>
  <c r="K9" i="8"/>
  <c r="K11" i="8"/>
  <c r="K14" i="8"/>
  <c r="J11" i="8"/>
  <c r="J14" i="8"/>
  <c r="K12" i="4"/>
  <c r="K15" i="4" s="1"/>
  <c r="K17" i="4" s="1"/>
  <c r="L6" i="4"/>
  <c r="L9" i="4" s="1"/>
  <c r="L12" i="4" s="1"/>
  <c r="L8" i="8"/>
  <c r="O7" i="5"/>
  <c r="P7" i="5" s="1"/>
  <c r="M5" i="5"/>
  <c r="N6" i="5"/>
  <c r="O6" i="5"/>
  <c r="F31" i="4"/>
  <c r="F33" i="4" s="1"/>
  <c r="L31" i="4"/>
  <c r="O31" i="4"/>
  <c r="M31" i="4"/>
  <c r="T7" i="4"/>
  <c r="E31" i="4"/>
  <c r="E33" i="4" s="1"/>
  <c r="G31" i="4"/>
  <c r="G33" i="4" s="1"/>
  <c r="I31" i="4"/>
  <c r="I33" i="4" s="1"/>
  <c r="D31" i="4"/>
  <c r="D33" i="4" s="1"/>
  <c r="D35" i="4" s="1"/>
  <c r="P21" i="4"/>
  <c r="Q21" i="4" s="1"/>
  <c r="H31" i="4"/>
  <c r="H33" i="4" s="1"/>
  <c r="K31" i="4"/>
  <c r="J31" i="4"/>
  <c r="J33" i="4" s="1"/>
  <c r="L9" i="8" l="1"/>
  <c r="L13" i="8"/>
  <c r="L11" i="8"/>
  <c r="L14" i="8"/>
  <c r="L13" i="4"/>
  <c r="L15" i="4" s="1"/>
  <c r="L17" i="4" s="1"/>
  <c r="L33" i="4" s="1"/>
  <c r="K33" i="4"/>
  <c r="M6" i="4"/>
  <c r="M9" i="4" s="1"/>
  <c r="M12" i="4" s="1"/>
  <c r="M8" i="8"/>
  <c r="P6" i="5"/>
  <c r="N5" i="5"/>
  <c r="O5" i="5"/>
  <c r="D39" i="4"/>
  <c r="E35" i="4"/>
  <c r="R21" i="4"/>
  <c r="Q31" i="4"/>
  <c r="P31" i="4"/>
  <c r="M9" i="8" l="1"/>
  <c r="M13" i="8"/>
  <c r="M11" i="8"/>
  <c r="M14" i="8"/>
  <c r="M13" i="4"/>
  <c r="M15" i="4" s="1"/>
  <c r="M17" i="4" s="1"/>
  <c r="M33" i="4" s="1"/>
  <c r="N6" i="4"/>
  <c r="N9" i="4" s="1"/>
  <c r="N8" i="8"/>
  <c r="O8" i="8"/>
  <c r="O13" i="8" s="1"/>
  <c r="O6" i="4"/>
  <c r="O9" i="4" s="1"/>
  <c r="O12" i="4" s="1"/>
  <c r="P5" i="5"/>
  <c r="F35" i="4"/>
  <c r="E39" i="4"/>
  <c r="S21" i="4"/>
  <c r="R31" i="4"/>
  <c r="K76" i="5" l="1"/>
  <c r="N9" i="8"/>
  <c r="N13" i="8"/>
  <c r="O9" i="8"/>
  <c r="D16" i="8"/>
  <c r="N14" i="8"/>
  <c r="N11" i="8"/>
  <c r="O11" i="8"/>
  <c r="O14" i="8"/>
  <c r="O13" i="4"/>
  <c r="O15" i="4" s="1"/>
  <c r="O17" i="4" s="1"/>
  <c r="O33" i="4" s="1"/>
  <c r="P6" i="4"/>
  <c r="P9" i="4" s="1"/>
  <c r="Q13" i="4" s="1"/>
  <c r="N12" i="4"/>
  <c r="P12" i="4" s="1"/>
  <c r="N13" i="4"/>
  <c r="G35" i="4"/>
  <c r="F39" i="4"/>
  <c r="T21" i="4"/>
  <c r="T31" i="4" s="1"/>
  <c r="S31" i="4"/>
  <c r="D99" i="5" l="1"/>
  <c r="D35" i="8" s="1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D18" i="8"/>
  <c r="D79" i="5"/>
  <c r="D80" i="5"/>
  <c r="D77" i="5"/>
  <c r="E16" i="8"/>
  <c r="P12" i="8"/>
  <c r="Q12" i="8" s="1"/>
  <c r="P11" i="8"/>
  <c r="P8" i="8"/>
  <c r="Q11" i="8" s="1"/>
  <c r="P14" i="8"/>
  <c r="Q6" i="4"/>
  <c r="R6" i="4" s="1"/>
  <c r="S6" i="4" s="1"/>
  <c r="S9" i="4" s="1"/>
  <c r="Q12" i="4"/>
  <c r="Q15" i="4" s="1"/>
  <c r="N15" i="4"/>
  <c r="N17" i="4" s="1"/>
  <c r="N33" i="4" s="1"/>
  <c r="P13" i="4"/>
  <c r="P15" i="4" s="1"/>
  <c r="P17" i="4" s="1"/>
  <c r="G39" i="4"/>
  <c r="H35" i="4"/>
  <c r="R12" i="8" l="1"/>
  <c r="S12" i="8" s="1"/>
  <c r="T12" i="8" s="1"/>
  <c r="E18" i="8"/>
  <c r="D81" i="5"/>
  <c r="D86" i="5" s="1"/>
  <c r="D23" i="8" s="1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F16" i="8"/>
  <c r="T6" i="4"/>
  <c r="T9" i="4" s="1"/>
  <c r="Q14" i="8"/>
  <c r="Q9" i="4"/>
  <c r="R12" i="4" s="1"/>
  <c r="R9" i="4"/>
  <c r="S13" i="4" s="1"/>
  <c r="Q8" i="8"/>
  <c r="Q13" i="8" s="1"/>
  <c r="P33" i="4"/>
  <c r="P35" i="4" s="1"/>
  <c r="P39" i="4" s="1"/>
  <c r="P41" i="4" s="1"/>
  <c r="T13" i="4"/>
  <c r="T12" i="4"/>
  <c r="I35" i="4"/>
  <c r="H39" i="4"/>
  <c r="Q9" i="8" l="1"/>
  <c r="F18" i="8"/>
  <c r="P35" i="8"/>
  <c r="Q35" i="8" s="1"/>
  <c r="R35" i="8" s="1"/>
  <c r="S35" i="8" s="1"/>
  <c r="T35" i="8" s="1"/>
  <c r="D85" i="5"/>
  <c r="D22" i="8" s="1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3" i="8"/>
  <c r="Q23" i="8" s="1"/>
  <c r="R23" i="8" s="1"/>
  <c r="S23" i="8" s="1"/>
  <c r="T23" i="8" s="1"/>
  <c r="G16" i="8"/>
  <c r="R13" i="4"/>
  <c r="R15" i="4" s="1"/>
  <c r="R17" i="4" s="1"/>
  <c r="R33" i="4" s="1"/>
  <c r="S12" i="4"/>
  <c r="S15" i="4" s="1"/>
  <c r="S17" i="4" s="1"/>
  <c r="S33" i="4" s="1"/>
  <c r="R11" i="8"/>
  <c r="R14" i="8"/>
  <c r="Q16" i="8"/>
  <c r="Q18" i="8" s="1"/>
  <c r="Q17" i="4"/>
  <c r="Q33" i="4" s="1"/>
  <c r="Q35" i="4" s="1"/>
  <c r="Q39" i="4" s="1"/>
  <c r="Q41" i="4" s="1"/>
  <c r="R8" i="8"/>
  <c r="R13" i="8" s="1"/>
  <c r="T15" i="4"/>
  <c r="T17" i="4" s="1"/>
  <c r="T33" i="4" s="1"/>
  <c r="J35" i="4"/>
  <c r="I39" i="4"/>
  <c r="R9" i="8" l="1"/>
  <c r="G18" i="8"/>
  <c r="D37" i="8"/>
  <c r="D39" i="8" s="1"/>
  <c r="D43" i="8" s="1"/>
  <c r="D45" i="8" s="1"/>
  <c r="D49" i="8" s="1"/>
  <c r="F37" i="8"/>
  <c r="F39" i="8" s="1"/>
  <c r="F43" i="8" s="1"/>
  <c r="E37" i="8"/>
  <c r="E39" i="8" s="1"/>
  <c r="E43" i="8" s="1"/>
  <c r="H16" i="8"/>
  <c r="S11" i="8"/>
  <c r="S14" i="8"/>
  <c r="T8" i="8"/>
  <c r="T13" i="8" s="1"/>
  <c r="S8" i="8"/>
  <c r="S13" i="8" s="1"/>
  <c r="R16" i="8"/>
  <c r="R18" i="8" s="1"/>
  <c r="R35" i="4"/>
  <c r="R39" i="4" s="1"/>
  <c r="R41" i="4" s="1"/>
  <c r="K35" i="4"/>
  <c r="J39" i="4"/>
  <c r="S9" i="8" l="1"/>
  <c r="H18" i="8"/>
  <c r="T9" i="8"/>
  <c r="E45" i="8"/>
  <c r="E49" i="8" s="1"/>
  <c r="I16" i="8"/>
  <c r="T14" i="8"/>
  <c r="T11" i="8"/>
  <c r="S16" i="8"/>
  <c r="S18" i="8" s="1"/>
  <c r="S35" i="4"/>
  <c r="S39" i="4" s="1"/>
  <c r="S41" i="4" s="1"/>
  <c r="L35" i="4"/>
  <c r="K39" i="4"/>
  <c r="I18" i="8" l="1"/>
  <c r="G37" i="8"/>
  <c r="G39" i="8" s="1"/>
  <c r="G43" i="8" s="1"/>
  <c r="F45" i="8"/>
  <c r="F49" i="8" s="1"/>
  <c r="J16" i="8"/>
  <c r="H37" i="8"/>
  <c r="H39" i="8" s="1"/>
  <c r="H43" i="8" s="1"/>
  <c r="T16" i="8"/>
  <c r="T18" i="8" s="1"/>
  <c r="T35" i="4"/>
  <c r="T39" i="4" s="1"/>
  <c r="T41" i="4" s="1"/>
  <c r="M35" i="4"/>
  <c r="L39" i="4"/>
  <c r="J18" i="8" l="1"/>
  <c r="G45" i="8"/>
  <c r="G49" i="8" s="1"/>
  <c r="K16" i="8"/>
  <c r="I37" i="8"/>
  <c r="I39" i="8" s="1"/>
  <c r="I43" i="8" s="1"/>
  <c r="N35" i="4"/>
  <c r="M39" i="4"/>
  <c r="K18" i="8" l="1"/>
  <c r="H45" i="8"/>
  <c r="H49" i="8" s="1"/>
  <c r="L16" i="8"/>
  <c r="J37" i="8"/>
  <c r="J39" i="8" s="1"/>
  <c r="J43" i="8" s="1"/>
  <c r="O35" i="4"/>
  <c r="O39" i="4" s="1"/>
  <c r="N39" i="4"/>
  <c r="L18" i="8" l="1"/>
  <c r="I45" i="8"/>
  <c r="I49" i="8" s="1"/>
  <c r="M16" i="8"/>
  <c r="K37" i="8"/>
  <c r="K39" i="8" s="1"/>
  <c r="K43" i="8" s="1"/>
  <c r="M18" i="8" l="1"/>
  <c r="J45" i="8"/>
  <c r="J49" i="8" s="1"/>
  <c r="N16" i="8"/>
  <c r="L37" i="8"/>
  <c r="L39" i="8" s="1"/>
  <c r="L43" i="8" s="1"/>
  <c r="N18" i="8" l="1"/>
  <c r="K45" i="8"/>
  <c r="K49" i="8" s="1"/>
  <c r="O16" i="8"/>
  <c r="P13" i="8"/>
  <c r="M37" i="8"/>
  <c r="M39" i="8" s="1"/>
  <c r="M43" i="8" s="1"/>
  <c r="P16" i="8" l="1"/>
  <c r="O18" i="8"/>
  <c r="L45" i="8"/>
  <c r="L49" i="8" s="1"/>
  <c r="N37" i="8"/>
  <c r="N39" i="8" s="1"/>
  <c r="N43" i="8" s="1"/>
  <c r="P18" i="8" l="1"/>
  <c r="M45" i="8"/>
  <c r="M49" i="8" s="1"/>
  <c r="O37" i="8"/>
  <c r="O39" i="8" s="1"/>
  <c r="O43" i="8" s="1"/>
  <c r="P22" i="8"/>
  <c r="N45" i="8" l="1"/>
  <c r="N49" i="8" s="1"/>
  <c r="P37" i="8"/>
  <c r="P39" i="8" s="1"/>
  <c r="P43" i="8" s="1"/>
  <c r="Q22" i="8"/>
  <c r="Q37" i="8" s="1"/>
  <c r="P45" i="8" l="1"/>
  <c r="P49" i="8" s="1"/>
  <c r="P51" i="8" s="1"/>
  <c r="P44" i="8"/>
  <c r="O45" i="8"/>
  <c r="O49" i="8" s="1"/>
  <c r="Q39" i="8"/>
  <c r="Q43" i="8" s="1"/>
  <c r="Q44" i="8" s="1"/>
  <c r="R22" i="8"/>
  <c r="R37" i="8" s="1"/>
  <c r="R39" i="8" s="1"/>
  <c r="Q45" i="8" l="1"/>
  <c r="Q49" i="8" s="1"/>
  <c r="Q51" i="8" s="1"/>
  <c r="R43" i="8"/>
  <c r="R44" i="8" s="1"/>
  <c r="S22" i="8"/>
  <c r="S37" i="8" s="1"/>
  <c r="S39" i="8" s="1"/>
  <c r="R45" i="8" l="1"/>
  <c r="R49" i="8" s="1"/>
  <c r="R51" i="8" s="1"/>
  <c r="S43" i="8"/>
  <c r="S44" i="8" s="1"/>
  <c r="T22" i="8"/>
  <c r="T37" i="8" l="1"/>
  <c r="T39" i="8" s="1"/>
  <c r="T43" i="8" s="1"/>
  <c r="T44" i="8" s="1"/>
  <c r="S45" i="8"/>
  <c r="S49" i="8" s="1"/>
  <c r="S51" i="8" s="1"/>
  <c r="T45" i="8" l="1"/>
  <c r="T49" i="8" s="1"/>
  <c r="T51" i="8" s="1"/>
</calcChain>
</file>

<file path=xl/sharedStrings.xml><?xml version="1.0" encoding="utf-8"?>
<sst xmlns="http://schemas.openxmlformats.org/spreadsheetml/2006/main" count="255" uniqueCount="132">
  <si>
    <t>May</t>
  </si>
  <si>
    <t>NGN</t>
  </si>
  <si>
    <t>Revenue</t>
  </si>
  <si>
    <t>Total Revenue</t>
  </si>
  <si>
    <t>Cost of Revenue</t>
  </si>
  <si>
    <t>Operating expenses</t>
  </si>
  <si>
    <t>EBITDA</t>
  </si>
  <si>
    <t>Live_Case</t>
  </si>
  <si>
    <t>Average  no of Patient</t>
  </si>
  <si>
    <t>Average case - Price</t>
  </si>
  <si>
    <t>Gross Profit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</si>
  <si>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</si>
  <si>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</si>
  <si>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</si>
  <si>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</si>
  <si>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</si>
  <si>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</si>
  <si>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</si>
  <si>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</si>
  <si>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</si>
  <si>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</si>
  <si>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</si>
  <si>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Water</t>
  </si>
  <si>
    <t>Security</t>
  </si>
  <si>
    <t>Electricity</t>
  </si>
  <si>
    <t>Diesel &amp; Fuel</t>
  </si>
  <si>
    <t>Cleaning</t>
  </si>
  <si>
    <t>Internet</t>
  </si>
  <si>
    <t>Printing &amp; Stationery</t>
  </si>
  <si>
    <t>Bank Charges</t>
  </si>
  <si>
    <t>Repair&amp;Maintenance</t>
  </si>
  <si>
    <t>Staff cost</t>
  </si>
  <si>
    <t>Direct cost reagent</t>
  </si>
  <si>
    <t>Other direct cost</t>
  </si>
  <si>
    <t>% of COS</t>
  </si>
  <si>
    <t>% of Rev</t>
  </si>
  <si>
    <t>Price Inflation</t>
  </si>
  <si>
    <t>Cost Inflation</t>
  </si>
  <si>
    <t>Total Opex</t>
  </si>
  <si>
    <t>Revenue Growth rate</t>
  </si>
  <si>
    <t>Accumulated EBITDA</t>
  </si>
  <si>
    <t>Total Investment</t>
  </si>
  <si>
    <t>Pay back Balance</t>
  </si>
  <si>
    <t>Pay back Period</t>
  </si>
  <si>
    <t>Total Direct Cost</t>
  </si>
  <si>
    <t>FY 1</t>
  </si>
  <si>
    <t>Cleaning Services</t>
  </si>
  <si>
    <t>FY 2</t>
  </si>
  <si>
    <t>FY 3</t>
  </si>
  <si>
    <t>FY 4</t>
  </si>
  <si>
    <t>FY 5</t>
  </si>
  <si>
    <t xml:space="preserve">Corporate </t>
  </si>
  <si>
    <t>Computations-Outputs</t>
  </si>
  <si>
    <t>Assumptions-Inputs</t>
  </si>
  <si>
    <t>Other Inputs</t>
  </si>
  <si>
    <t>Wellness Packages</t>
  </si>
  <si>
    <t>Direct Cost - Consumables</t>
  </si>
  <si>
    <t>IV micronutrient Therapy (Vitamins, Amino Acids,(in clinic &amp; Home)</t>
  </si>
  <si>
    <t>IV micronutrient Therapy Weight loss  (Slim boost(in clinic &amp; Home)</t>
  </si>
  <si>
    <t>Occupational Health</t>
  </si>
  <si>
    <t>Average price spent per person</t>
  </si>
  <si>
    <t>Rent</t>
  </si>
  <si>
    <t>Weight loss programs (Meal Plans,  etc)</t>
  </si>
  <si>
    <t>Medical Weight loss programs (Mounjaro, etc)</t>
  </si>
  <si>
    <t>% on 2024 actual cost</t>
  </si>
  <si>
    <t>% on Projected Revenue</t>
  </si>
  <si>
    <t>Projected Revenue</t>
  </si>
  <si>
    <t>Stationery, fliers, banners and general adverts</t>
  </si>
  <si>
    <t>Advert, Printing &amp; Stationery</t>
  </si>
  <si>
    <t>Rent for 4 centres</t>
  </si>
  <si>
    <t>Direct Cost - Staff</t>
  </si>
  <si>
    <t>Direct Cost - Overheads &amp; Others</t>
  </si>
  <si>
    <t>Indirect Staff Cost</t>
  </si>
  <si>
    <t>Local Govt Levies &amp; Charges</t>
  </si>
  <si>
    <t>Depreciation Expenses</t>
  </si>
  <si>
    <t>Insurance Expenses</t>
  </si>
  <si>
    <r>
      <t>Net Profit/</t>
    </r>
    <r>
      <rPr>
        <b/>
        <sz val="12"/>
        <color rgb="FFFF0000"/>
        <rFont val="Aptos Display"/>
        <family val="2"/>
      </rPr>
      <t>(Loss)</t>
    </r>
  </si>
  <si>
    <t>Direct Cost - Sales Commission</t>
  </si>
  <si>
    <t>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</si>
  <si>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</si>
  <si>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</si>
  <si>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</si>
  <si>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</si>
  <si>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</si>
  <si>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</si>
  <si>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</si>
  <si>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</si>
  <si>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</si>
  <si>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</si>
  <si>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</si>
  <si>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Direct Cost - 3rd Party Services</t>
  </si>
  <si>
    <t>Front Desk Officers</t>
  </si>
  <si>
    <t>Centre Coordinator</t>
  </si>
  <si>
    <t>Client Service Officer</t>
  </si>
  <si>
    <t>Clinic Operations Mgr</t>
  </si>
  <si>
    <t>Medfit Mgr</t>
  </si>
  <si>
    <t>HR Mgr</t>
  </si>
  <si>
    <t>Finance Team</t>
  </si>
  <si>
    <t>Sales Mgr</t>
  </si>
  <si>
    <t>Sales Team</t>
  </si>
  <si>
    <t>Sales Operations</t>
  </si>
  <si>
    <t>Amount (₦)</t>
  </si>
  <si>
    <t>Grossed-up Rate (₦)</t>
  </si>
  <si>
    <r>
      <t>Net Rate (</t>
    </r>
    <r>
      <rPr>
        <b/>
        <sz val="12"/>
        <color theme="1"/>
        <rFont val="Aptos Narrow"/>
        <family val="2"/>
      </rPr>
      <t>₦</t>
    </r>
    <r>
      <rPr>
        <b/>
        <sz val="12"/>
        <color theme="1"/>
        <rFont val="Aptos Display"/>
        <family val="2"/>
      </rPr>
      <t>)</t>
    </r>
  </si>
  <si>
    <t>Contribution</t>
  </si>
  <si>
    <t>COO</t>
  </si>
  <si>
    <t>Lead Accountant</t>
  </si>
  <si>
    <t xml:space="preserve">pro-rated based on </t>
  </si>
  <si>
    <t>Monthly Operating Expenses</t>
  </si>
  <si>
    <t>Based on Mar 2025 Cost</t>
  </si>
  <si>
    <t>₦</t>
  </si>
  <si>
    <t>Indirect staff Cost</t>
  </si>
  <si>
    <t>Fuel - Pool Cars</t>
  </si>
  <si>
    <t>Car Hire</t>
  </si>
  <si>
    <t>including provison for expected salary raise</t>
  </si>
  <si>
    <t>No increment included</t>
  </si>
  <si>
    <t>Medical Doctors</t>
  </si>
  <si>
    <t>Call Centre Software Subscription</t>
  </si>
  <si>
    <t>CHEMICAL HANDLERS TEST</t>
  </si>
  <si>
    <t>AUDIOMETRY</t>
  </si>
  <si>
    <t>SPIROMETRY</t>
  </si>
  <si>
    <t>WORK AT HEIGHT MEDICALS</t>
  </si>
  <si>
    <t>FITNESS TO DRIVE MEDICAL</t>
  </si>
  <si>
    <t>ANNUAL MEDICAL</t>
  </si>
  <si>
    <t>CHOLERA VACCINATION</t>
  </si>
  <si>
    <t>CHEST XRAY ONLY</t>
  </si>
  <si>
    <t>KNOW-YOUR-NUMBER MEDICALS</t>
  </si>
  <si>
    <t xml:space="preserve">FOOD HANDLERS TEST </t>
  </si>
  <si>
    <t>Occupational Health- Project</t>
  </si>
  <si>
    <t>Occupational health- Project</t>
  </si>
  <si>
    <t>VACCINATION</t>
  </si>
  <si>
    <t>Drug &amp;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</si>
</sst>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;[Red]\(#,##0\)"/>
    <numFmt numFmtId="168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Trebuchet MS"/>
      <family val="2"/>
    </font>
    <font>
      <b/>
      <sz val="12"/>
      <color theme="3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b/>
      <sz val="12"/>
      <color rgb="FFFF0000"/>
      <name val="Aptos Display"/>
      <family val="2"/>
    </font>
    <font>
      <b/>
      <sz val="12"/>
      <color theme="1"/>
      <name val="Aptos Narrow"/>
      <family val="2"/>
    </font>
    <font>
      <sz val="12"/>
      <color theme="0"/>
      <name val="Aptos Display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164" fontId="1" fillId="0" borderId="0" applyFont="0" applyFill="0" applyBorder="0" applyAlignment="0" applyProtection="0"/>
    <xf numFmtId="0" fontId="18" fillId="0" borderId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0" borderId="4" xfId="5" applyFont="1" applyAlignment="1">
      <alignment horizontal="left" vertical="center"/>
    </xf>
    <xf numFmtId="0" fontId="8" fillId="0" borderId="4" xfId="5" applyFont="1" applyAlignment="1">
      <alignment horizontal="center" vertical="center"/>
    </xf>
    <xf numFmtId="164" fontId="8" fillId="0" borderId="4" xfId="5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8" fillId="0" borderId="4" xfId="5" applyNumberFormat="1" applyFont="1" applyAlignment="1">
      <alignment horizontal="center" vertical="center"/>
    </xf>
    <xf numFmtId="43" fontId="9" fillId="0" borderId="0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left" vertical="center"/>
    </xf>
    <xf numFmtId="0" fontId="8" fillId="0" borderId="4" xfId="5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165" fontId="8" fillId="0" borderId="4" xfId="5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4" xfId="5" applyNumberFormat="1" applyFont="1" applyAlignment="1">
      <alignment vertical="center"/>
    </xf>
    <xf numFmtId="0" fontId="6" fillId="0" borderId="2" xfId="3" applyFont="1" applyAlignment="1">
      <alignment vertical="center"/>
    </xf>
    <xf numFmtId="0" fontId="6" fillId="0" borderId="2" xfId="3" applyFont="1" applyAlignment="1">
      <alignment horizontal="center" vertical="center"/>
    </xf>
    <xf numFmtId="164" fontId="6" fillId="0" borderId="2" xfId="3" applyNumberFormat="1" applyFont="1" applyAlignment="1">
      <alignment horizontal="center" vertical="center"/>
    </xf>
    <xf numFmtId="0" fontId="6" fillId="0" borderId="3" xfId="4" applyAlignment="1">
      <alignment vertical="center"/>
    </xf>
    <xf numFmtId="0" fontId="6" fillId="0" borderId="3" xfId="4" applyAlignment="1">
      <alignment horizontal="center" vertical="center"/>
    </xf>
    <xf numFmtId="17" fontId="6" fillId="0" borderId="3" xfId="4" applyNumberFormat="1" applyAlignment="1">
      <alignment horizontal="center" vertical="center"/>
    </xf>
    <xf numFmtId="0" fontId="6" fillId="0" borderId="2" xfId="3" applyFont="1" applyAlignment="1">
      <alignment horizontal="left" vertical="center"/>
    </xf>
    <xf numFmtId="165" fontId="8" fillId="0" borderId="4" xfId="1" applyNumberFormat="1" applyFont="1" applyBorder="1" applyAlignment="1">
      <alignment vertical="center"/>
    </xf>
    <xf numFmtId="164" fontId="8" fillId="0" borderId="4" xfId="5" applyNumberFormat="1" applyFont="1" applyAlignment="1">
      <alignment vertical="center"/>
    </xf>
    <xf numFmtId="164" fontId="8" fillId="0" borderId="4" xfId="1" applyFont="1" applyBorder="1" applyAlignment="1">
      <alignment horizontal="center" vertical="center"/>
    </xf>
    <xf numFmtId="43" fontId="8" fillId="0" borderId="4" xfId="5" applyNumberFormat="1" applyFont="1" applyAlignment="1">
      <alignment horizontal="left" vertical="center"/>
    </xf>
    <xf numFmtId="43" fontId="8" fillId="0" borderId="4" xfId="5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2" xfId="3" applyFont="1" applyAlignment="1">
      <alignment horizontal="left" vertical="center"/>
    </xf>
    <xf numFmtId="0" fontId="12" fillId="0" borderId="2" xfId="3" applyFont="1" applyAlignment="1">
      <alignment vertical="center"/>
    </xf>
    <xf numFmtId="0" fontId="12" fillId="0" borderId="2" xfId="3" applyFont="1" applyAlignment="1">
      <alignment horizontal="center" vertical="center"/>
    </xf>
    <xf numFmtId="164" fontId="12" fillId="0" borderId="2" xfId="3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" xfId="4" applyFont="1" applyAlignment="1">
      <alignment horizontal="center" vertical="center"/>
    </xf>
    <xf numFmtId="0" fontId="12" fillId="0" borderId="3" xfId="4" applyFont="1" applyAlignment="1">
      <alignment vertical="center"/>
    </xf>
    <xf numFmtId="17" fontId="12" fillId="0" borderId="3" xfId="4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" xfId="5" applyFont="1" applyAlignment="1">
      <alignment vertical="center"/>
    </xf>
    <xf numFmtId="0" fontId="12" fillId="0" borderId="4" xfId="5" applyFont="1" applyAlignment="1">
      <alignment horizontal="center" vertical="center"/>
    </xf>
    <xf numFmtId="164" fontId="12" fillId="0" borderId="4" xfId="5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13" fillId="0" borderId="0" xfId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65" fontId="12" fillId="0" borderId="4" xfId="1" applyNumberFormat="1" applyFont="1" applyBorder="1" applyAlignment="1">
      <alignment vertical="center"/>
    </xf>
    <xf numFmtId="165" fontId="12" fillId="0" borderId="4" xfId="5" applyNumberFormat="1" applyFont="1" applyAlignment="1">
      <alignment horizontal="center" vertical="center"/>
    </xf>
    <xf numFmtId="0" fontId="12" fillId="0" borderId="4" xfId="5" applyFont="1" applyAlignment="1">
      <alignment horizontal="left" vertical="center"/>
    </xf>
    <xf numFmtId="165" fontId="12" fillId="0" borderId="4" xfId="1" applyNumberFormat="1" applyFont="1" applyBorder="1" applyAlignment="1">
      <alignment horizontal="left" vertical="center"/>
    </xf>
    <xf numFmtId="0" fontId="13" fillId="0" borderId="0" xfId="0" applyFont="1"/>
    <xf numFmtId="165" fontId="12" fillId="0" borderId="4" xfId="5" applyNumberFormat="1" applyFont="1" applyAlignment="1">
      <alignment vertical="center"/>
    </xf>
    <xf numFmtId="0" fontId="12" fillId="0" borderId="4" xfId="5" applyNumberFormat="1" applyFont="1" applyAlignment="1">
      <alignment vertical="center"/>
    </xf>
    <xf numFmtId="164" fontId="14" fillId="0" borderId="0" xfId="1" applyFont="1" applyBorder="1" applyAlignment="1">
      <alignment horizontal="center" vertical="center"/>
    </xf>
    <xf numFmtId="167" fontId="13" fillId="0" borderId="0" xfId="1" applyNumberFormat="1" applyFont="1" applyBorder="1" applyAlignment="1">
      <alignment horizontal="right" vertical="center"/>
    </xf>
    <xf numFmtId="167" fontId="14" fillId="0" borderId="0" xfId="1" applyNumberFormat="1" applyFont="1" applyBorder="1" applyAlignment="1">
      <alignment horizontal="right" vertical="center"/>
    </xf>
    <xf numFmtId="167" fontId="12" fillId="0" borderId="4" xfId="5" applyNumberFormat="1" applyFont="1" applyAlignment="1">
      <alignment horizontal="right" vertical="center"/>
    </xf>
    <xf numFmtId="167" fontId="12" fillId="0" borderId="4" xfId="1" applyNumberFormat="1" applyFont="1" applyBorder="1" applyAlignment="1">
      <alignment horizontal="right" vertical="center"/>
    </xf>
    <xf numFmtId="9" fontId="13" fillId="0" borderId="0" xfId="0" applyNumberFormat="1" applyFont="1" applyAlignment="1">
      <alignment horizontal="center" vertical="center"/>
    </xf>
    <xf numFmtId="9" fontId="13" fillId="0" borderId="0" xfId="2" applyFont="1" applyBorder="1" applyAlignment="1">
      <alignment horizontal="right" vertical="center"/>
    </xf>
    <xf numFmtId="10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7" fontId="14" fillId="0" borderId="0" xfId="0" applyNumberFormat="1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64" fontId="13" fillId="0" borderId="0" xfId="1" applyFont="1" applyAlignment="1">
      <alignment horizontal="center" vertical="center"/>
    </xf>
    <xf numFmtId="0" fontId="13" fillId="0" borderId="0" xfId="1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49" fontId="13" fillId="0" borderId="0" xfId="1" applyNumberFormat="1" applyFont="1" applyAlignment="1">
      <alignment horizontal="right" vertical="center"/>
    </xf>
    <xf numFmtId="49" fontId="13" fillId="0" borderId="0" xfId="1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9" fontId="13" fillId="0" borderId="0" xfId="2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9" fontId="13" fillId="0" borderId="0" xfId="2" applyFont="1" applyAlignment="1">
      <alignment horizontal="left" vertical="center"/>
    </xf>
    <xf numFmtId="165" fontId="13" fillId="0" borderId="0" xfId="1" applyNumberFormat="1" applyFont="1" applyAlignment="1">
      <alignment horizontal="right" vertical="center" indent="1"/>
    </xf>
    <xf numFmtId="165" fontId="13" fillId="0" borderId="0" xfId="0" applyNumberFormat="1" applyFont="1" applyAlignment="1">
      <alignment horizontal="right" vertical="center" indent="1"/>
    </xf>
    <xf numFmtId="2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 vertical="top" wrapText="1"/>
    </xf>
    <xf numFmtId="168" fontId="13" fillId="0" borderId="0" xfId="0" applyNumberFormat="1" applyFont="1" applyAlignment="1">
      <alignment horizontal="center" vertical="center"/>
    </xf>
    <xf numFmtId="1" fontId="13" fillId="0" borderId="0" xfId="1" applyNumberFormat="1" applyFont="1" applyAlignment="1">
      <alignment horizontal="right" vertical="center"/>
    </xf>
    <xf numFmtId="0" fontId="14" fillId="0" borderId="0" xfId="0" applyFont="1" applyAlignment="1">
      <alignment horizontal="center" wrapText="1"/>
    </xf>
    <xf numFmtId="167" fontId="13" fillId="0" borderId="0" xfId="1" applyNumberFormat="1" applyFont="1" applyAlignment="1">
      <alignment horizontal="center" vertical="center"/>
    </xf>
    <xf numFmtId="166" fontId="17" fillId="0" borderId="0" xfId="2" applyNumberFormat="1" applyFont="1" applyBorder="1" applyAlignment="1">
      <alignment horizontal="right" vertical="center"/>
    </xf>
    <xf numFmtId="165" fontId="13" fillId="3" borderId="0" xfId="1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9" fontId="13" fillId="0" borderId="0" xfId="2" applyFont="1" applyBorder="1" applyAlignment="1">
      <alignment horizontal="center" vertical="center"/>
    </xf>
    <xf numFmtId="9" fontId="12" fillId="0" borderId="4" xfId="2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1" xfId="0" applyBorder="1"/>
    <xf numFmtId="0" fontId="18" fillId="0" borderId="1" xfId="7" applyBorder="1"/>
  </cellXfs>
  <cellStyles count="8">
    <cellStyle name="Comma" xfId="1" builtinId="3"/>
    <cellStyle name="Comma 2" xfId="6" xr:uid="{57EE9361-1A1B-4030-AADF-5D7FF2081522}"/>
    <cellStyle name="Heading 1" xfId="3" builtinId="16"/>
    <cellStyle name="Heading 2" xfId="4" builtinId="17"/>
    <cellStyle name="Heading 3" xfId="5" builtinId="18"/>
    <cellStyle name="Normal" xfId="0" builtinId="0"/>
    <cellStyle name="Normal 2" xfId="7" xr:uid="{D3F1AE52-9BA8-4BC6-A667-E94790CFBF8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76A-99A3-4D92-94A7-7180A9FC14DC}">
  <dimension ref="B1:AF118"/>
  <sheetViews>
    <sheetView topLeftCell="A3" zoomScaleNormal="100" zoomScaleSheetLayoutView="93" workbookViewId="0">
      <pane xSplit="2" ySplit="2" topLeftCell="C89" activePane="bottomRight" state="frozen"/>
      <selection activeCell="H88" sqref="H88"/>
      <selection pane="topRight" activeCell="H88" sqref="H88"/>
      <selection pane="bottomLeft" activeCell="H88" sqref="H88"/>
      <selection pane="bottomRight" activeCell="E99" sqref="E99"/>
    </sheetView>
  </sheetViews>
  <sheetFormatPr defaultColWidth="9.1796875" defaultRowHeight="16" x14ac:dyDescent="0.35"/>
  <cols>
    <col min="1" max="1" width="1" style="40" customWidth="1"/>
    <col min="2" max="2" width="32.1796875" style="68" customWidth="1"/>
    <col min="3" max="3" width="7.90625" style="40" bestFit="1" customWidth="1"/>
    <col min="4" max="4" width="14.453125" style="40" bestFit="1" customWidth="1"/>
    <col min="5" max="7" width="14.08984375" style="40" bestFit="1" customWidth="1"/>
    <col min="8" max="8" width="16.90625" style="40" customWidth="1"/>
    <col min="9" max="9" width="15.36328125" style="40" customWidth="1"/>
    <col min="10" max="10" width="14.08984375" style="40" bestFit="1" customWidth="1"/>
    <col min="11" max="11" width="19.36328125" style="40" customWidth="1"/>
    <col min="12" max="15" width="14.81640625" style="40" bestFit="1" customWidth="1"/>
    <col min="16" max="16" width="16.36328125" style="40" customWidth="1"/>
    <col min="17" max="17" width="3.54296875" style="40" bestFit="1" customWidth="1"/>
    <col min="18" max="18" width="20.453125" style="40" bestFit="1" customWidth="1"/>
    <col min="19" max="19" width="13.453125" style="40" customWidth="1"/>
    <col min="20" max="20" width="11.54296875" style="40" bestFit="1" customWidth="1"/>
    <col min="21" max="21" width="11.54296875" style="40" customWidth="1"/>
    <col min="22" max="22" width="14.08984375" style="40" customWidth="1"/>
    <col min="23" max="25" width="9.1796875" style="40"/>
    <col min="26" max="26" width="15.54296875" style="40" customWidth="1"/>
    <col min="27" max="16384" width="9.1796875" style="40"/>
  </cols>
  <sheetData>
    <row r="1" spans="2:16" ht="12" customHeight="1" x14ac:dyDescent="0.35">
      <c r="B1" s="44" t="s">
        <v>53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2:16" ht="12" customHeight="1" x14ac:dyDescent="0.35"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2:16" s="44" customFormat="1" x14ac:dyDescent="0.35">
      <c r="B3" s="69"/>
      <c r="D3" s="71" t="s">
        <v>79</v>
      </c>
      <c r="E3" s="71" t="s">
        <v>80</v>
      </c>
      <c r="F3" s="71" t="s">
        <v>81</v>
      </c>
      <c r="G3" s="71" t="s">
        <v>82</v>
      </c>
      <c r="H3" s="71" t="s">
        <v>0</v>
      </c>
      <c r="I3" s="71" t="s">
        <v>83</v>
      </c>
      <c r="J3" s="71" t="s">
        <v>84</v>
      </c>
      <c r="K3" s="71" t="s">
        <v>85</v>
      </c>
      <c r="L3" s="71" t="s">
        <v>86</v>
      </c>
      <c r="M3" s="71" t="s">
        <v>87</v>
      </c>
      <c r="N3" s="71" t="s">
        <v>88</v>
      </c>
      <c r="O3" s="71" t="s">
        <v>89</v>
      </c>
      <c r="P3" s="44" t="s">
        <v>78</v>
      </c>
    </row>
    <row r="4" spans="2:16" s="44" customFormat="1" x14ac:dyDescent="0.35">
      <c r="B4" s="70" t="s">
        <v>7</v>
      </c>
      <c r="C4" s="68"/>
      <c r="D4" s="71"/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2:16" s="44" customFormat="1" hidden="1" x14ac:dyDescent="0.35">
      <c r="B5" s="44" t="s">
        <v>55</v>
      </c>
      <c r="D5" s="73">
        <f>SUM(D6:D11)</f>
        <v>0</v>
      </c>
      <c r="E5" s="73">
        <f t="shared" ref="E5:O5" si="0">SUM(E6:E11)</f>
        <v>0</v>
      </c>
      <c r="F5" s="73">
        <f t="shared" si="0"/>
        <v>0</v>
      </c>
      <c r="G5" s="73">
        <f t="shared" si="0"/>
        <v>0</v>
      </c>
      <c r="H5" s="73">
        <f t="shared" si="0"/>
        <v>0</v>
      </c>
      <c r="I5" s="73">
        <f t="shared" si="0"/>
        <v>0</v>
      </c>
      <c r="J5" s="73">
        <f t="shared" si="0"/>
        <v>0</v>
      </c>
      <c r="K5" s="73">
        <f t="shared" si="0"/>
        <v>0</v>
      </c>
      <c r="L5" s="73">
        <f t="shared" si="0"/>
        <v>0</v>
      </c>
      <c r="M5" s="73">
        <f t="shared" si="0"/>
        <v>0</v>
      </c>
      <c r="N5" s="73">
        <f t="shared" si="0"/>
        <v>0</v>
      </c>
      <c r="O5" s="73">
        <f t="shared" si="0"/>
        <v>0</v>
      </c>
      <c r="P5" s="73">
        <f>SUM(D5:O5)</f>
        <v>0</v>
      </c>
    </row>
    <row r="6" spans="2:16" ht="34.25" hidden="1" customHeight="1" x14ac:dyDescent="0.35">
      <c r="B6" s="96" t="s">
        <v>57</v>
      </c>
      <c r="D6" s="75">
        <f>D28*D49</f>
        <v>0</v>
      </c>
      <c r="E6" s="75">
        <f>E49*E28</f>
        <v>0</v>
      </c>
      <c r="F6" s="75">
        <f>F49*F28</f>
        <v>0</v>
      </c>
      <c r="G6" s="75">
        <f>G49*G28</f>
        <v>0</v>
      </c>
      <c r="H6" s="75">
        <f>H49*H28</f>
        <v>0</v>
      </c>
      <c r="I6" s="75">
        <f>I49*I28</f>
        <v>0</v>
      </c>
      <c r="J6" s="75">
        <f>J49*J28</f>
        <v>0</v>
      </c>
      <c r="K6" s="75">
        <f>K49*K28</f>
        <v>0</v>
      </c>
      <c r="L6" s="75">
        <f>L49*L28</f>
        <v>0</v>
      </c>
      <c r="M6" s="75">
        <f>M49*M28</f>
        <v>0</v>
      </c>
      <c r="N6" s="75">
        <f>N49*N28</f>
        <v>0</v>
      </c>
      <c r="O6" s="75">
        <f>O49*O28</f>
        <v>0</v>
      </c>
      <c r="P6" s="39">
        <f>SUM(D6:O6)</f>
        <v>0</v>
      </c>
    </row>
    <row r="7" spans="2:16" ht="32" hidden="1" x14ac:dyDescent="0.4">
      <c r="B7" s="95" t="s">
        <v>58</v>
      </c>
      <c r="D7" s="75">
        <f>D29*D50</f>
        <v>0</v>
      </c>
      <c r="E7" s="75">
        <f>E50*E29</f>
        <v>0</v>
      </c>
      <c r="F7" s="75">
        <f>F50*F29</f>
        <v>0</v>
      </c>
      <c r="G7" s="75">
        <f>G50*G29</f>
        <v>0</v>
      </c>
      <c r="H7" s="75">
        <f>H50*H29</f>
        <v>0</v>
      </c>
      <c r="I7" s="75">
        <f>I50*I29</f>
        <v>0</v>
      </c>
      <c r="J7" s="75">
        <f>J50*J29</f>
        <v>0</v>
      </c>
      <c r="K7" s="75">
        <f>K50*K29</f>
        <v>0</v>
      </c>
      <c r="L7" s="75">
        <f>L50*L29</f>
        <v>0</v>
      </c>
      <c r="M7" s="75">
        <f>M50*M29</f>
        <v>0</v>
      </c>
      <c r="N7" s="75">
        <f>N50*N29</f>
        <v>0</v>
      </c>
      <c r="O7" s="75">
        <f>O50*O29</f>
        <v>0</v>
      </c>
      <c r="P7" s="39">
        <f>SUM(D7:O7)</f>
        <v>0</v>
      </c>
    </row>
    <row r="8" spans="2:16" ht="32" hidden="1" x14ac:dyDescent="0.35">
      <c r="B8" s="96" t="s">
        <v>62</v>
      </c>
      <c r="D8" s="75">
        <f>D30*D51</f>
        <v>0</v>
      </c>
      <c r="E8" s="75">
        <f>E51*E30</f>
        <v>0</v>
      </c>
      <c r="F8" s="75">
        <f>F51*F30</f>
        <v>0</v>
      </c>
      <c r="G8" s="75">
        <f>G51*G30</f>
        <v>0</v>
      </c>
      <c r="H8" s="75">
        <f>H51*H30</f>
        <v>0</v>
      </c>
      <c r="I8" s="75">
        <f>I51*I30</f>
        <v>0</v>
      </c>
      <c r="J8" s="75">
        <f>J51*J30</f>
        <v>0</v>
      </c>
      <c r="K8" s="75">
        <f>K51*K30</f>
        <v>0</v>
      </c>
      <c r="L8" s="75">
        <f>L51*L30</f>
        <v>0</v>
      </c>
      <c r="M8" s="75">
        <f>M51*M30</f>
        <v>0</v>
      </c>
      <c r="N8" s="75">
        <f>N51*N30</f>
        <v>0</v>
      </c>
      <c r="O8" s="75">
        <f>O51*O30</f>
        <v>0</v>
      </c>
      <c r="P8" s="39">
        <f>SUM(D8:O8)</f>
        <v>0</v>
      </c>
    </row>
    <row r="9" spans="2:16" ht="32" hidden="1" x14ac:dyDescent="0.4">
      <c r="B9" s="95" t="s">
        <v>63</v>
      </c>
      <c r="D9" s="75">
        <f>D31*D52</f>
        <v>0</v>
      </c>
      <c r="E9" s="75">
        <f>E31*E52</f>
        <v>0</v>
      </c>
      <c r="F9" s="75">
        <f>F31*F52</f>
        <v>0</v>
      </c>
      <c r="G9" s="75">
        <f>G31*G52</f>
        <v>0</v>
      </c>
      <c r="H9" s="75">
        <f>H31*H52</f>
        <v>0</v>
      </c>
      <c r="I9" s="75">
        <f>I31*I52</f>
        <v>0</v>
      </c>
      <c r="J9" s="75">
        <f>J31*J52</f>
        <v>0</v>
      </c>
      <c r="K9" s="75">
        <f>K31*K52</f>
        <v>0</v>
      </c>
      <c r="L9" s="75">
        <f>L31*L52</f>
        <v>0</v>
      </c>
      <c r="M9" s="75">
        <f>M31*M52</f>
        <v>0</v>
      </c>
      <c r="N9" s="75">
        <f>N31*N52</f>
        <v>0</v>
      </c>
      <c r="O9" s="75">
        <f>O31*O52</f>
        <v>0</v>
      </c>
      <c r="P9" s="39">
        <f>SUM(D9:O9)</f>
        <v>0</v>
      </c>
    </row>
    <row r="10" spans="2:16" s="44" customFormat="1" hidden="1" x14ac:dyDescent="0.35">
      <c r="B10" s="68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3"/>
    </row>
    <row r="11" spans="2:16" s="44" customFormat="1" hidden="1" x14ac:dyDescent="0.35"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3"/>
    </row>
    <row r="12" spans="2:16" x14ac:dyDescent="0.35">
      <c r="B12" s="78"/>
      <c r="D12" s="39"/>
      <c r="E12" s="39"/>
      <c r="F12" s="39"/>
      <c r="G12" s="39"/>
      <c r="H12" s="75"/>
      <c r="I12" s="39"/>
      <c r="J12" s="39"/>
      <c r="K12" s="39"/>
      <c r="L12" s="39"/>
      <c r="M12" s="39"/>
      <c r="N12" s="39"/>
      <c r="O12" s="39"/>
      <c r="P12" s="39"/>
    </row>
    <row r="13" spans="2:16" s="44" customFormat="1" x14ac:dyDescent="0.35">
      <c r="B13" s="79" t="s">
        <v>129</v>
      </c>
      <c r="D13" s="73">
        <f>SUM(D14:D23)</f>
        <v>6224208.333333333</v>
      </c>
      <c r="E13" s="73">
        <f>SUM(E14:E23)</f>
        <v>6224208.333333333</v>
      </c>
      <c r="F13" s="73">
        <f>SUM(F14:F23)</f>
        <v>6224208.333333333</v>
      </c>
      <c r="G13" s="73">
        <f>SUM(G14:G23)</f>
        <v>6224208.333333333</v>
      </c>
      <c r="H13" s="73">
        <f>SUM(H14:H23)</f>
        <v>6224208.333333333</v>
      </c>
      <c r="I13" s="73">
        <f>SUM(I14:I23)</f>
        <v>6224208.333333333</v>
      </c>
      <c r="J13" s="73">
        <f>SUM(J14:J23)</f>
        <v>6224208.333333333</v>
      </c>
      <c r="K13" s="73">
        <f>SUM(K14:K23)</f>
        <v>6224208.333333333</v>
      </c>
      <c r="L13" s="73">
        <f>SUM(L14:L23)</f>
        <v>6224208.333333333</v>
      </c>
      <c r="M13" s="73">
        <f>SUM(M14:M23)</f>
        <v>6224208.333333333</v>
      </c>
      <c r="N13" s="73">
        <f>SUM(N14:N23)</f>
        <v>6224208.333333333</v>
      </c>
      <c r="O13" s="73">
        <f>SUM(O14:O23)</f>
        <v>6224208.333333333</v>
      </c>
      <c r="P13" s="73">
        <f>SUM(P14:P23)</f>
        <v>74690500</v>
      </c>
    </row>
    <row r="14" spans="2:16" x14ac:dyDescent="0.35">
      <c r="B14" s="109" t="s">
        <v>127</v>
      </c>
      <c r="C14" s="80"/>
      <c r="D14" s="75">
        <f>D36*D57</f>
        <v>0</v>
      </c>
      <c r="E14" s="75">
        <f>E36*E57</f>
        <v>0</v>
      </c>
      <c r="F14" s="75">
        <f>F36*F57</f>
        <v>0</v>
      </c>
      <c r="G14" s="75">
        <f>G36*G57</f>
        <v>0</v>
      </c>
      <c r="H14" s="75">
        <f>H36*H57</f>
        <v>0</v>
      </c>
      <c r="I14" s="75">
        <f>I36*I57</f>
        <v>0</v>
      </c>
      <c r="J14" s="75">
        <f>J36*J57</f>
        <v>0</v>
      </c>
      <c r="K14" s="75">
        <f>K36*K57</f>
        <v>0</v>
      </c>
      <c r="L14" s="75">
        <f>L36*L57</f>
        <v>0</v>
      </c>
      <c r="M14" s="75">
        <f>M36*M57</f>
        <v>0</v>
      </c>
      <c r="N14" s="75">
        <f>N36*N57</f>
        <v>0</v>
      </c>
      <c r="O14" s="75">
        <f>O36*O57</f>
        <v>0</v>
      </c>
      <c r="P14" s="73">
        <f t="shared" ref="P14:P23" si="1">SUM(D14:O14)</f>
        <v>0</v>
      </c>
    </row>
    <row r="15" spans="2:16" x14ac:dyDescent="0.35">
      <c r="B15" s="109" t="s">
        <v>118</v>
      </c>
      <c r="C15" s="80"/>
      <c r="D15" s="75">
        <f>D37*D58</f>
        <v>808166.66666666663</v>
      </c>
      <c r="E15" s="75">
        <f>E37*E58</f>
        <v>808166.66666666663</v>
      </c>
      <c r="F15" s="75">
        <f>F37*F58</f>
        <v>808166.66666666663</v>
      </c>
      <c r="G15" s="75">
        <f>G37*G58</f>
        <v>808166.66666666663</v>
      </c>
      <c r="H15" s="75">
        <f>H37*H58</f>
        <v>808166.66666666663</v>
      </c>
      <c r="I15" s="75">
        <f>I37*I58</f>
        <v>808166.66666666663</v>
      </c>
      <c r="J15" s="75">
        <f>J37*J58</f>
        <v>808166.66666666663</v>
      </c>
      <c r="K15" s="75">
        <f>K37*K58</f>
        <v>808166.66666666663</v>
      </c>
      <c r="L15" s="75">
        <f>L37*L58</f>
        <v>808166.66666666663</v>
      </c>
      <c r="M15" s="75">
        <f>M37*M58</f>
        <v>808166.66666666663</v>
      </c>
      <c r="N15" s="75">
        <f>N37*N58</f>
        <v>808166.66666666663</v>
      </c>
      <c r="O15" s="75">
        <f>O37*O58</f>
        <v>808166.66666666663</v>
      </c>
      <c r="P15" s="73">
        <f t="shared" si="1"/>
        <v>9698000</v>
      </c>
    </row>
    <row r="16" spans="2:16" x14ac:dyDescent="0.35">
      <c r="B16" s="109" t="s">
        <v>119</v>
      </c>
      <c r="C16" s="80"/>
      <c r="D16" s="75">
        <f>D38*D59</f>
        <v>779250</v>
      </c>
      <c r="E16" s="75">
        <f>E38*E59</f>
        <v>779250</v>
      </c>
      <c r="F16" s="75">
        <f>F38*F59</f>
        <v>779250</v>
      </c>
      <c r="G16" s="75">
        <f>G38*G59</f>
        <v>779250</v>
      </c>
      <c r="H16" s="75">
        <f>H38*H59</f>
        <v>779250</v>
      </c>
      <c r="I16" s="75">
        <f>I38*I59</f>
        <v>779250</v>
      </c>
      <c r="J16" s="75">
        <f>J38*J59</f>
        <v>779250</v>
      </c>
      <c r="K16" s="75">
        <f>K38*K59</f>
        <v>779250</v>
      </c>
      <c r="L16" s="75">
        <f>L38*L59</f>
        <v>779250</v>
      </c>
      <c r="M16" s="75">
        <f>M38*M59</f>
        <v>779250</v>
      </c>
      <c r="N16" s="75">
        <f>N38*N59</f>
        <v>779250</v>
      </c>
      <c r="O16" s="75">
        <f>O38*O59</f>
        <v>779250</v>
      </c>
      <c r="P16" s="73">
        <f t="shared" si="1"/>
        <v>9351000</v>
      </c>
    </row>
    <row r="17" spans="2:30" x14ac:dyDescent="0.35">
      <c r="B17" s="109" t="s">
        <v>120</v>
      </c>
      <c r="C17" s="80"/>
      <c r="D17" s="75">
        <f>D39*D60</f>
        <v>302041.66666666663</v>
      </c>
      <c r="E17" s="75">
        <f>E39*E60</f>
        <v>302041.66666666663</v>
      </c>
      <c r="F17" s="75">
        <f>F39*F60</f>
        <v>302041.66666666663</v>
      </c>
      <c r="G17" s="75">
        <f>G39*G60</f>
        <v>302041.66666666663</v>
      </c>
      <c r="H17" s="75">
        <f>H39*H60</f>
        <v>302041.66666666663</v>
      </c>
      <c r="I17" s="75">
        <f>I39*I60</f>
        <v>302041.66666666663</v>
      </c>
      <c r="J17" s="75">
        <f>J39*J60</f>
        <v>302041.66666666663</v>
      </c>
      <c r="K17" s="75">
        <f>K39*K60</f>
        <v>302041.66666666663</v>
      </c>
      <c r="L17" s="75">
        <f>L39*L60</f>
        <v>302041.66666666663</v>
      </c>
      <c r="M17" s="75">
        <f>M39*M60</f>
        <v>302041.66666666663</v>
      </c>
      <c r="N17" s="75">
        <f>N39*N60</f>
        <v>302041.66666666663</v>
      </c>
      <c r="O17" s="75">
        <f>O39*O60</f>
        <v>302041.66666666663</v>
      </c>
      <c r="P17" s="73">
        <f t="shared" si="1"/>
        <v>3624499.9999999986</v>
      </c>
    </row>
    <row r="18" spans="2:30" x14ac:dyDescent="0.35">
      <c r="B18" s="109" t="s">
        <v>121</v>
      </c>
      <c r="C18" s="80"/>
      <c r="D18" s="75">
        <f>D40*D61</f>
        <v>108750</v>
      </c>
      <c r="E18" s="75">
        <f>E40*E61</f>
        <v>108750</v>
      </c>
      <c r="F18" s="75">
        <f>F40*F61</f>
        <v>108750</v>
      </c>
      <c r="G18" s="75">
        <f>G40*G61</f>
        <v>108750</v>
      </c>
      <c r="H18" s="75">
        <f>H40*H61</f>
        <v>108750</v>
      </c>
      <c r="I18" s="75">
        <f>I40*I61</f>
        <v>108750</v>
      </c>
      <c r="J18" s="75">
        <f>J40*J61</f>
        <v>108750</v>
      </c>
      <c r="K18" s="75">
        <f>K40*K61</f>
        <v>108750</v>
      </c>
      <c r="L18" s="75">
        <f>L40*L61</f>
        <v>108750</v>
      </c>
      <c r="M18" s="75">
        <f>M40*M61</f>
        <v>108750</v>
      </c>
      <c r="N18" s="75">
        <f>N40*N61</f>
        <v>108750</v>
      </c>
      <c r="O18" s="75">
        <f>O40*O61</f>
        <v>108750</v>
      </c>
      <c r="P18" s="73">
        <f t="shared" si="1"/>
        <v>1305000</v>
      </c>
    </row>
    <row r="19" spans="2:30" x14ac:dyDescent="0.35">
      <c r="B19" s="109" t="s">
        <v>122</v>
      </c>
      <c r="C19" s="80"/>
      <c r="D19" s="75">
        <f>D41*D62</f>
        <v>413000</v>
      </c>
      <c r="E19" s="75">
        <f>E41*E62</f>
        <v>413000</v>
      </c>
      <c r="F19" s="75">
        <f>F41*F62</f>
        <v>413000</v>
      </c>
      <c r="G19" s="75">
        <f>G41*G62</f>
        <v>413000</v>
      </c>
      <c r="H19" s="75">
        <f>H41*H62</f>
        <v>413000</v>
      </c>
      <c r="I19" s="75">
        <f>I41*I62</f>
        <v>413000</v>
      </c>
      <c r="J19" s="75">
        <f>J41*J62</f>
        <v>413000</v>
      </c>
      <c r="K19" s="75">
        <f>K41*K62</f>
        <v>413000</v>
      </c>
      <c r="L19" s="75">
        <f>L41*L62</f>
        <v>413000</v>
      </c>
      <c r="M19" s="75">
        <f>M41*M62</f>
        <v>413000</v>
      </c>
      <c r="N19" s="75">
        <f>N41*N62</f>
        <v>413000</v>
      </c>
      <c r="O19" s="75">
        <f>O41*O62</f>
        <v>413000</v>
      </c>
      <c r="P19" s="73">
        <f t="shared" si="1"/>
        <v>4956000</v>
      </c>
    </row>
    <row r="20" spans="2:30" x14ac:dyDescent="0.35">
      <c r="B20" s="109" t="s">
        <v>123</v>
      </c>
      <c r="D20" s="75">
        <f>D42*D63</f>
        <v>1406833.3333333333</v>
      </c>
      <c r="E20" s="75">
        <f>E42*E63</f>
        <v>1406833.3333333333</v>
      </c>
      <c r="F20" s="75">
        <f>F42*F63</f>
        <v>1406833.3333333333</v>
      </c>
      <c r="G20" s="75">
        <f>G42*G63</f>
        <v>1406833.3333333333</v>
      </c>
      <c r="H20" s="75">
        <f>H42*H63</f>
        <v>1406833.3333333333</v>
      </c>
      <c r="I20" s="75">
        <f>I42*I63</f>
        <v>1406833.3333333333</v>
      </c>
      <c r="J20" s="75">
        <f>J42*J63</f>
        <v>1406833.3333333333</v>
      </c>
      <c r="K20" s="75">
        <f>K42*K63</f>
        <v>1406833.3333333333</v>
      </c>
      <c r="L20" s="75">
        <f>L42*L63</f>
        <v>1406833.3333333333</v>
      </c>
      <c r="M20" s="75">
        <f>M42*M63</f>
        <v>1406833.3333333333</v>
      </c>
      <c r="N20" s="75">
        <f>N42*N63</f>
        <v>1406833.3333333333</v>
      </c>
      <c r="O20" s="75">
        <f>O42*O63</f>
        <v>1406833.3333333333</v>
      </c>
      <c r="P20" s="73">
        <f t="shared" si="1"/>
        <v>16882000.000000004</v>
      </c>
    </row>
    <row r="21" spans="2:30" x14ac:dyDescent="0.35">
      <c r="B21" s="109" t="s">
        <v>124</v>
      </c>
      <c r="D21" s="75">
        <f>D43*D64</f>
        <v>2115000</v>
      </c>
      <c r="E21" s="75">
        <f>E43*E64</f>
        <v>2115000</v>
      </c>
      <c r="F21" s="75">
        <f>F43*F64</f>
        <v>2115000</v>
      </c>
      <c r="G21" s="75">
        <f>G43*G64</f>
        <v>2115000</v>
      </c>
      <c r="H21" s="75">
        <f>H43*H64</f>
        <v>2115000</v>
      </c>
      <c r="I21" s="75">
        <f>I43*I64</f>
        <v>2115000</v>
      </c>
      <c r="J21" s="75">
        <f>J43*J64</f>
        <v>2115000</v>
      </c>
      <c r="K21" s="75">
        <f>K43*K64</f>
        <v>2115000</v>
      </c>
      <c r="L21" s="75">
        <f>L43*L64</f>
        <v>2115000</v>
      </c>
      <c r="M21" s="75">
        <f>M43*M64</f>
        <v>2115000</v>
      </c>
      <c r="N21" s="75">
        <f>N43*N64</f>
        <v>2115000</v>
      </c>
      <c r="O21" s="75">
        <f>O43*O64</f>
        <v>2115000</v>
      </c>
      <c r="P21" s="73">
        <f t="shared" si="1"/>
        <v>25380000</v>
      </c>
    </row>
    <row r="22" spans="2:30" x14ac:dyDescent="0.35">
      <c r="B22" s="109" t="s">
        <v>125</v>
      </c>
      <c r="D22" s="75">
        <f>D44*D65</f>
        <v>240166.66666666666</v>
      </c>
      <c r="E22" s="75">
        <f>E44*E65</f>
        <v>240166.66666666666</v>
      </c>
      <c r="F22" s="75">
        <f>F44*F65</f>
        <v>240166.66666666666</v>
      </c>
      <c r="G22" s="75">
        <f>G44*G65</f>
        <v>240166.66666666666</v>
      </c>
      <c r="H22" s="75">
        <f>H44*H65</f>
        <v>240166.66666666666</v>
      </c>
      <c r="I22" s="75">
        <f>I44*I65</f>
        <v>240166.66666666666</v>
      </c>
      <c r="J22" s="75">
        <f>J44*J65</f>
        <v>240166.66666666666</v>
      </c>
      <c r="K22" s="75">
        <f>K44*K65</f>
        <v>240166.66666666666</v>
      </c>
      <c r="L22" s="75">
        <f>L44*L65</f>
        <v>240166.66666666666</v>
      </c>
      <c r="M22" s="75">
        <f>M44*M65</f>
        <v>240166.66666666666</v>
      </c>
      <c r="N22" s="75">
        <f>N44*N65</f>
        <v>240166.66666666666</v>
      </c>
      <c r="O22" s="75">
        <f>O44*O65</f>
        <v>240166.66666666666</v>
      </c>
      <c r="P22" s="73">
        <f t="shared" si="1"/>
        <v>2881999.9999999995</v>
      </c>
    </row>
    <row r="23" spans="2:30" x14ac:dyDescent="0.35">
      <c r="B23" s="110" t="s">
        <v>126</v>
      </c>
      <c r="D23" s="75">
        <f>D45*D67</f>
        <v>51000</v>
      </c>
      <c r="E23" s="75">
        <f>E45*E67</f>
        <v>51000</v>
      </c>
      <c r="F23" s="75">
        <f>F45*F67</f>
        <v>51000</v>
      </c>
      <c r="G23" s="75">
        <f>G45*G67</f>
        <v>51000</v>
      </c>
      <c r="H23" s="75">
        <f>H45*H67</f>
        <v>51000</v>
      </c>
      <c r="I23" s="75">
        <f>I45*I67</f>
        <v>51000</v>
      </c>
      <c r="J23" s="75">
        <f>J45*J67</f>
        <v>51000</v>
      </c>
      <c r="K23" s="75">
        <f>K45*K67</f>
        <v>51000</v>
      </c>
      <c r="L23" s="75">
        <f>L45*L67</f>
        <v>51000</v>
      </c>
      <c r="M23" s="75">
        <f>M45*M67</f>
        <v>51000</v>
      </c>
      <c r="N23" s="75">
        <f>N45*N67</f>
        <v>51000</v>
      </c>
      <c r="O23" s="75">
        <f>O45*O67</f>
        <v>51000</v>
      </c>
      <c r="P23" s="73">
        <f t="shared" si="1"/>
        <v>612000</v>
      </c>
    </row>
    <row r="24" spans="2:30" x14ac:dyDescent="0.35">
      <c r="B24" s="77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</row>
    <row r="25" spans="2:30" x14ac:dyDescent="0.35"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</row>
    <row r="26" spans="2:30" hidden="1" x14ac:dyDescent="0.35">
      <c r="B26" s="70" t="s">
        <v>8</v>
      </c>
      <c r="D26" s="76"/>
      <c r="H26" s="81"/>
    </row>
    <row r="27" spans="2:30" hidden="1" x14ac:dyDescent="0.35">
      <c r="B27" s="44" t="s">
        <v>55</v>
      </c>
      <c r="D27" s="76"/>
      <c r="H27" s="81"/>
    </row>
    <row r="28" spans="2:30" ht="34.25" hidden="1" customHeight="1" x14ac:dyDescent="0.35">
      <c r="B28" s="96" t="s">
        <v>57</v>
      </c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3">
        <f>SUM(D28:O28)</f>
        <v>0</v>
      </c>
      <c r="R28" s="82">
        <v>30</v>
      </c>
      <c r="S28" s="82">
        <v>31</v>
      </c>
      <c r="T28" s="82">
        <v>32</v>
      </c>
      <c r="U28" s="82"/>
      <c r="V28" s="82">
        <v>33</v>
      </c>
      <c r="W28" s="82">
        <v>34</v>
      </c>
      <c r="X28" s="82">
        <v>35</v>
      </c>
      <c r="Y28" s="82">
        <v>36</v>
      </c>
      <c r="Z28" s="82">
        <v>37</v>
      </c>
      <c r="AA28" s="82">
        <v>38</v>
      </c>
      <c r="AB28" s="82">
        <v>39</v>
      </c>
      <c r="AC28" s="82">
        <v>40</v>
      </c>
      <c r="AD28" s="82">
        <v>41</v>
      </c>
    </row>
    <row r="29" spans="2:30" ht="32" hidden="1" x14ac:dyDescent="0.35">
      <c r="B29" s="96" t="s">
        <v>58</v>
      </c>
      <c r="D29" s="82"/>
      <c r="E29" s="84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3">
        <f>SUM(D29:O29)</f>
        <v>0</v>
      </c>
      <c r="R29" s="82">
        <v>30</v>
      </c>
      <c r="S29" s="84">
        <v>30</v>
      </c>
      <c r="T29" s="82">
        <v>30</v>
      </c>
      <c r="U29" s="82"/>
      <c r="V29" s="82">
        <v>30</v>
      </c>
      <c r="W29" s="82">
        <v>30</v>
      </c>
      <c r="X29" s="82">
        <v>30</v>
      </c>
      <c r="Y29" s="82">
        <v>30</v>
      </c>
      <c r="Z29" s="82">
        <v>30</v>
      </c>
      <c r="AA29" s="82">
        <v>30</v>
      </c>
      <c r="AB29" s="82">
        <v>30</v>
      </c>
      <c r="AC29" s="82">
        <v>30</v>
      </c>
      <c r="AD29" s="82">
        <v>30</v>
      </c>
    </row>
    <row r="30" spans="2:30" ht="32" hidden="1" x14ac:dyDescent="0.35">
      <c r="B30" s="96" t="s">
        <v>62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3">
        <f>SUM(D30:O30)</f>
        <v>0</v>
      </c>
      <c r="R30" s="82">
        <v>30</v>
      </c>
      <c r="S30" s="82">
        <v>30</v>
      </c>
      <c r="T30" s="82">
        <v>30</v>
      </c>
      <c r="U30" s="82"/>
      <c r="V30" s="82">
        <v>30</v>
      </c>
      <c r="W30" s="82">
        <v>30</v>
      </c>
      <c r="X30" s="82">
        <v>30</v>
      </c>
      <c r="Y30" s="82">
        <v>30</v>
      </c>
      <c r="Z30" s="82">
        <v>30</v>
      </c>
      <c r="AA30" s="82">
        <v>30</v>
      </c>
      <c r="AB30" s="82">
        <v>30</v>
      </c>
      <c r="AC30" s="82">
        <v>30</v>
      </c>
      <c r="AD30" s="82">
        <v>30</v>
      </c>
    </row>
    <row r="31" spans="2:30" ht="32" hidden="1" x14ac:dyDescent="0.35">
      <c r="B31" s="96" t="s">
        <v>63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>
        <f>SUM(D31:O31)</f>
        <v>0</v>
      </c>
      <c r="R31" s="82">
        <v>20</v>
      </c>
      <c r="S31" s="82">
        <v>20</v>
      </c>
      <c r="T31" s="82">
        <v>20</v>
      </c>
      <c r="U31" s="82"/>
      <c r="V31" s="82">
        <v>20</v>
      </c>
      <c r="W31" s="82">
        <v>20</v>
      </c>
      <c r="X31" s="82">
        <v>20</v>
      </c>
      <c r="Y31" s="82">
        <v>20</v>
      </c>
      <c r="Z31" s="82">
        <v>20</v>
      </c>
      <c r="AA31" s="82">
        <v>20</v>
      </c>
      <c r="AB31" s="82">
        <v>20</v>
      </c>
      <c r="AC31" s="82">
        <v>20</v>
      </c>
      <c r="AD31" s="82">
        <v>20</v>
      </c>
    </row>
    <row r="32" spans="2:30" s="44" customFormat="1" x14ac:dyDescent="0.35">
      <c r="B32" s="68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2:32" s="44" customFormat="1" x14ac:dyDescent="0.35"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2:32" x14ac:dyDescent="0.35">
      <c r="B34" s="78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5" spans="2:32" x14ac:dyDescent="0.35">
      <c r="B35" s="79" t="s">
        <v>128</v>
      </c>
      <c r="C35" s="77"/>
      <c r="D35" s="98"/>
      <c r="H35" s="81"/>
    </row>
    <row r="36" spans="2:32" x14ac:dyDescent="0.35">
      <c r="B36" s="109" t="s">
        <v>127</v>
      </c>
      <c r="C36" s="97"/>
      <c r="D36" s="98">
        <v>1229.4166666666667</v>
      </c>
      <c r="E36" s="98">
        <v>1229.4166666666667</v>
      </c>
      <c r="F36" s="98">
        <v>1229.4166666666667</v>
      </c>
      <c r="G36" s="98">
        <v>1229.4166666666667</v>
      </c>
      <c r="H36" s="98">
        <v>1229.4166666666667</v>
      </c>
      <c r="I36" s="98">
        <v>1229.4166666666667</v>
      </c>
      <c r="J36" s="98">
        <v>1229.4166666666667</v>
      </c>
      <c r="K36" s="98">
        <v>1229.4166666666667</v>
      </c>
      <c r="L36" s="98">
        <v>1229.4166666666667</v>
      </c>
      <c r="M36" s="98">
        <v>1229.4166666666667</v>
      </c>
      <c r="N36" s="98">
        <v>1229.4166666666667</v>
      </c>
      <c r="O36" s="98">
        <v>1229.4166666666667</v>
      </c>
      <c r="P36" s="73">
        <f t="shared" ref="P36:P69" si="2">SUM(D36:O36)</f>
        <v>14752.999999999998</v>
      </c>
      <c r="R36" s="88">
        <f>(P36-2358)/2358</f>
        <v>5.2565733672603896</v>
      </c>
      <c r="S36" s="39">
        <f t="shared" ref="S36:S43" si="3">P36/1.3</f>
        <v>11348.461538461537</v>
      </c>
    </row>
    <row r="37" spans="2:32" x14ac:dyDescent="0.35">
      <c r="B37" s="109" t="s">
        <v>118</v>
      </c>
      <c r="C37" s="97"/>
      <c r="D37" s="98">
        <v>62.166666666666664</v>
      </c>
      <c r="E37" s="98">
        <v>62.166666666666664</v>
      </c>
      <c r="F37" s="98">
        <v>62.166666666666664</v>
      </c>
      <c r="G37" s="98">
        <v>62.166666666666664</v>
      </c>
      <c r="H37" s="98">
        <v>62.166666666666664</v>
      </c>
      <c r="I37" s="98">
        <v>62.166666666666664</v>
      </c>
      <c r="J37" s="98">
        <v>62.166666666666664</v>
      </c>
      <c r="K37" s="98">
        <v>62.166666666666664</v>
      </c>
      <c r="L37" s="98">
        <v>62.166666666666664</v>
      </c>
      <c r="M37" s="98">
        <v>62.166666666666664</v>
      </c>
      <c r="N37" s="98">
        <v>62.166666666666664</v>
      </c>
      <c r="O37" s="98">
        <v>62.166666666666664</v>
      </c>
      <c r="P37" s="73">
        <f t="shared" si="2"/>
        <v>745.99999999999989</v>
      </c>
      <c r="R37" s="88">
        <f>(P37-1729)/1729</f>
        <v>-0.56853672643146336</v>
      </c>
      <c r="S37" s="39">
        <f t="shared" si="3"/>
        <v>573.8461538461537</v>
      </c>
    </row>
    <row r="38" spans="2:32" x14ac:dyDescent="0.35">
      <c r="B38" s="109" t="s">
        <v>119</v>
      </c>
      <c r="C38" s="97"/>
      <c r="D38" s="98">
        <v>173.16666666666666</v>
      </c>
      <c r="E38" s="98">
        <v>173.16666666666666</v>
      </c>
      <c r="F38" s="98">
        <v>173.16666666666666</v>
      </c>
      <c r="G38" s="98">
        <v>173.16666666666666</v>
      </c>
      <c r="H38" s="98">
        <v>173.16666666666666</v>
      </c>
      <c r="I38" s="98">
        <v>173.16666666666666</v>
      </c>
      <c r="J38" s="98">
        <v>173.16666666666666</v>
      </c>
      <c r="K38" s="98">
        <v>173.16666666666666</v>
      </c>
      <c r="L38" s="98">
        <v>173.16666666666666</v>
      </c>
      <c r="M38" s="98">
        <v>173.16666666666666</v>
      </c>
      <c r="N38" s="98">
        <v>173.16666666666666</v>
      </c>
      <c r="O38" s="98">
        <v>173.16666666666666</v>
      </c>
      <c r="P38" s="73">
        <f t="shared" si="2"/>
        <v>2078.0000000000005</v>
      </c>
      <c r="R38" s="88">
        <f>(P38-315)/315</f>
        <v>5.5968253968253983</v>
      </c>
      <c r="S38" s="39">
        <f t="shared" si="3"/>
        <v>1598.4615384615388</v>
      </c>
    </row>
    <row r="39" spans="2:32" x14ac:dyDescent="0.35">
      <c r="B39" s="109" t="s">
        <v>120</v>
      </c>
      <c r="C39" s="97"/>
      <c r="D39" s="98">
        <v>54.916666666666664</v>
      </c>
      <c r="E39" s="98">
        <v>54.916666666666664</v>
      </c>
      <c r="F39" s="98">
        <v>54.916666666666664</v>
      </c>
      <c r="G39" s="98">
        <v>54.916666666666664</v>
      </c>
      <c r="H39" s="98">
        <v>54.916666666666664</v>
      </c>
      <c r="I39" s="98">
        <v>54.916666666666664</v>
      </c>
      <c r="J39" s="98">
        <v>54.916666666666664</v>
      </c>
      <c r="K39" s="98">
        <v>54.916666666666664</v>
      </c>
      <c r="L39" s="98">
        <v>54.916666666666664</v>
      </c>
      <c r="M39" s="98">
        <v>54.916666666666664</v>
      </c>
      <c r="N39" s="98">
        <v>54.916666666666664</v>
      </c>
      <c r="O39" s="98">
        <v>54.916666666666664</v>
      </c>
      <c r="P39" s="73">
        <f t="shared" si="2"/>
        <v>659</v>
      </c>
      <c r="R39" s="88"/>
      <c r="S39" s="39">
        <f t="shared" si="3"/>
        <v>506.92307692307691</v>
      </c>
      <c r="T39" s="82">
        <v>50</v>
      </c>
      <c r="U39" s="82"/>
      <c r="V39" s="82">
        <v>51</v>
      </c>
      <c r="W39" s="82">
        <v>52</v>
      </c>
      <c r="X39" s="82">
        <v>53</v>
      </c>
      <c r="Y39" s="82">
        <v>54</v>
      </c>
      <c r="Z39" s="82">
        <v>55</v>
      </c>
      <c r="AA39" s="82">
        <v>56</v>
      </c>
      <c r="AB39" s="82">
        <v>57</v>
      </c>
      <c r="AC39" s="82">
        <v>58</v>
      </c>
      <c r="AD39" s="82">
        <v>59</v>
      </c>
      <c r="AE39" s="82">
        <v>60</v>
      </c>
      <c r="AF39" s="82">
        <v>61</v>
      </c>
    </row>
    <row r="40" spans="2:32" x14ac:dyDescent="0.35">
      <c r="B40" s="109" t="s">
        <v>121</v>
      </c>
      <c r="C40" s="97"/>
      <c r="D40" s="98">
        <v>21.75</v>
      </c>
      <c r="E40" s="98">
        <v>21.75</v>
      </c>
      <c r="F40" s="98">
        <v>21.75</v>
      </c>
      <c r="G40" s="98">
        <v>21.75</v>
      </c>
      <c r="H40" s="98">
        <v>21.75</v>
      </c>
      <c r="I40" s="98">
        <v>21.75</v>
      </c>
      <c r="J40" s="98">
        <v>21.75</v>
      </c>
      <c r="K40" s="98">
        <v>21.75</v>
      </c>
      <c r="L40" s="98">
        <v>21.75</v>
      </c>
      <c r="M40" s="98">
        <v>21.75</v>
      </c>
      <c r="N40" s="98">
        <v>21.75</v>
      </c>
      <c r="O40" s="98">
        <v>21.75</v>
      </c>
      <c r="P40" s="73">
        <f t="shared" si="2"/>
        <v>261</v>
      </c>
      <c r="R40" s="88"/>
      <c r="S40" s="39">
        <f t="shared" si="3"/>
        <v>200.76923076923077</v>
      </c>
      <c r="T40" s="98">
        <v>60</v>
      </c>
      <c r="U40" s="98"/>
      <c r="V40" s="98">
        <f>T40+$C40</f>
        <v>60</v>
      </c>
      <c r="W40" s="98">
        <f t="shared" ref="W40:AF40" si="4">V40+$C40</f>
        <v>60</v>
      </c>
      <c r="X40" s="98">
        <f t="shared" si="4"/>
        <v>60</v>
      </c>
      <c r="Y40" s="98">
        <f t="shared" si="4"/>
        <v>60</v>
      </c>
      <c r="Z40" s="98">
        <f t="shared" si="4"/>
        <v>60</v>
      </c>
      <c r="AA40" s="98">
        <f t="shared" si="4"/>
        <v>60</v>
      </c>
      <c r="AB40" s="98">
        <f t="shared" si="4"/>
        <v>60</v>
      </c>
      <c r="AC40" s="98">
        <f t="shared" si="4"/>
        <v>60</v>
      </c>
      <c r="AD40" s="98">
        <f t="shared" si="4"/>
        <v>60</v>
      </c>
      <c r="AE40" s="98">
        <f t="shared" si="4"/>
        <v>60</v>
      </c>
      <c r="AF40" s="98">
        <f t="shared" si="4"/>
        <v>60</v>
      </c>
    </row>
    <row r="41" spans="2:32" x14ac:dyDescent="0.35">
      <c r="B41" s="109" t="s">
        <v>122</v>
      </c>
      <c r="C41" s="97"/>
      <c r="D41" s="98">
        <v>29.5</v>
      </c>
      <c r="E41" s="98">
        <v>29.5</v>
      </c>
      <c r="F41" s="98">
        <v>29.5</v>
      </c>
      <c r="G41" s="98">
        <v>29.5</v>
      </c>
      <c r="H41" s="98">
        <v>29.5</v>
      </c>
      <c r="I41" s="98">
        <v>29.5</v>
      </c>
      <c r="J41" s="98">
        <v>29.5</v>
      </c>
      <c r="K41" s="98">
        <v>29.5</v>
      </c>
      <c r="L41" s="98">
        <v>29.5</v>
      </c>
      <c r="M41" s="98">
        <v>29.5</v>
      </c>
      <c r="N41" s="98">
        <v>29.5</v>
      </c>
      <c r="O41" s="98">
        <v>29.5</v>
      </c>
      <c r="P41" s="73">
        <f t="shared" si="2"/>
        <v>354</v>
      </c>
      <c r="R41" s="88">
        <f>(P41-379)/379</f>
        <v>-6.5963060686015831E-2</v>
      </c>
      <c r="S41" s="39">
        <f t="shared" si="3"/>
        <v>272.30769230769232</v>
      </c>
      <c r="T41" s="82">
        <v>120</v>
      </c>
      <c r="U41" s="82"/>
      <c r="V41" s="82">
        <v>121</v>
      </c>
      <c r="W41" s="82">
        <v>122</v>
      </c>
      <c r="X41" s="82">
        <v>123</v>
      </c>
      <c r="Y41" s="82">
        <v>124</v>
      </c>
      <c r="Z41" s="82">
        <v>125</v>
      </c>
      <c r="AA41" s="82">
        <v>126</v>
      </c>
      <c r="AB41" s="82">
        <v>127</v>
      </c>
      <c r="AC41" s="82">
        <v>128</v>
      </c>
      <c r="AD41" s="82">
        <v>129</v>
      </c>
      <c r="AE41" s="82">
        <v>130</v>
      </c>
      <c r="AF41" s="82">
        <v>131</v>
      </c>
    </row>
    <row r="42" spans="2:32" x14ac:dyDescent="0.35">
      <c r="B42" s="109" t="s">
        <v>123</v>
      </c>
      <c r="C42" s="97"/>
      <c r="D42" s="98">
        <v>122.33333333333333</v>
      </c>
      <c r="E42" s="98">
        <v>122.33333333333333</v>
      </c>
      <c r="F42" s="98">
        <v>122.33333333333333</v>
      </c>
      <c r="G42" s="98">
        <v>122.33333333333333</v>
      </c>
      <c r="H42" s="98">
        <v>122.33333333333333</v>
      </c>
      <c r="I42" s="98">
        <v>122.33333333333333</v>
      </c>
      <c r="J42" s="98">
        <v>122.33333333333333</v>
      </c>
      <c r="K42" s="98">
        <v>122.33333333333333</v>
      </c>
      <c r="L42" s="98">
        <v>122.33333333333333</v>
      </c>
      <c r="M42" s="98">
        <v>122.33333333333333</v>
      </c>
      <c r="N42" s="98">
        <v>122.33333333333333</v>
      </c>
      <c r="O42" s="98">
        <v>122.33333333333333</v>
      </c>
      <c r="P42" s="73">
        <f t="shared" si="2"/>
        <v>1467.9999999999998</v>
      </c>
      <c r="R42" s="88"/>
      <c r="S42" s="39">
        <f t="shared" si="3"/>
        <v>1129.2307692307691</v>
      </c>
      <c r="T42" s="82">
        <v>80</v>
      </c>
      <c r="U42" s="82"/>
      <c r="V42" s="82">
        <v>81</v>
      </c>
      <c r="W42" s="82">
        <v>82</v>
      </c>
      <c r="X42" s="82">
        <v>83</v>
      </c>
      <c r="Y42" s="82">
        <v>84</v>
      </c>
      <c r="Z42" s="82">
        <v>85</v>
      </c>
      <c r="AA42" s="82">
        <v>86</v>
      </c>
      <c r="AB42" s="82">
        <v>87</v>
      </c>
      <c r="AC42" s="82">
        <v>88</v>
      </c>
      <c r="AD42" s="82">
        <v>89</v>
      </c>
      <c r="AE42" s="82">
        <v>90</v>
      </c>
      <c r="AF42" s="82">
        <v>91</v>
      </c>
    </row>
    <row r="43" spans="2:32" x14ac:dyDescent="0.35">
      <c r="B43" s="109" t="s">
        <v>130</v>
      </c>
      <c r="C43" s="97"/>
      <c r="D43" s="98">
        <v>70.5</v>
      </c>
      <c r="E43" s="98">
        <v>70.5</v>
      </c>
      <c r="F43" s="98">
        <v>70.5</v>
      </c>
      <c r="G43" s="98">
        <v>70.5</v>
      </c>
      <c r="H43" s="98">
        <v>70.5</v>
      </c>
      <c r="I43" s="98">
        <v>70.5</v>
      </c>
      <c r="J43" s="98">
        <v>70.5</v>
      </c>
      <c r="K43" s="98">
        <v>70.5</v>
      </c>
      <c r="L43" s="98">
        <v>70.5</v>
      </c>
      <c r="M43" s="98">
        <v>70.5</v>
      </c>
      <c r="N43" s="98">
        <v>70.5</v>
      </c>
      <c r="O43" s="98">
        <v>70.5</v>
      </c>
      <c r="P43" s="73">
        <f t="shared" si="2"/>
        <v>846</v>
      </c>
      <c r="R43" s="88">
        <f>(P43-1077)/1077</f>
        <v>-0.21448467966573817</v>
      </c>
      <c r="S43" s="39">
        <f t="shared" si="3"/>
        <v>650.76923076923072</v>
      </c>
      <c r="T43" s="82">
        <v>200</v>
      </c>
      <c r="U43" s="82"/>
      <c r="V43" s="82">
        <v>201</v>
      </c>
      <c r="W43" s="82">
        <v>202</v>
      </c>
      <c r="X43" s="82">
        <v>203</v>
      </c>
      <c r="Y43" s="82">
        <v>204</v>
      </c>
      <c r="Z43" s="82">
        <v>205</v>
      </c>
      <c r="AA43" s="82">
        <v>206</v>
      </c>
      <c r="AB43" s="82">
        <v>207</v>
      </c>
      <c r="AC43" s="82">
        <v>208</v>
      </c>
      <c r="AD43" s="82">
        <v>209</v>
      </c>
      <c r="AE43" s="82">
        <v>210</v>
      </c>
      <c r="AF43" s="82">
        <v>211</v>
      </c>
    </row>
    <row r="44" spans="2:32" x14ac:dyDescent="0.35">
      <c r="B44" s="109" t="s">
        <v>125</v>
      </c>
      <c r="C44" s="97"/>
      <c r="D44" s="98">
        <v>10.916666666666666</v>
      </c>
      <c r="E44" s="98">
        <v>10.916666666666666</v>
      </c>
      <c r="F44" s="98">
        <v>10.916666666666666</v>
      </c>
      <c r="G44" s="98">
        <v>10.916666666666666</v>
      </c>
      <c r="H44" s="98">
        <v>10.916666666666666</v>
      </c>
      <c r="I44" s="98">
        <v>10.916666666666666</v>
      </c>
      <c r="J44" s="98">
        <v>10.916666666666666</v>
      </c>
      <c r="K44" s="98">
        <v>10.916666666666666</v>
      </c>
      <c r="L44" s="98">
        <v>10.916666666666666</v>
      </c>
      <c r="M44" s="98">
        <v>10.916666666666666</v>
      </c>
      <c r="N44" s="98">
        <v>10.916666666666666</v>
      </c>
      <c r="O44" s="98">
        <v>10.916666666666666</v>
      </c>
      <c r="P44" s="73">
        <f t="shared" si="2"/>
        <v>131.00000000000003</v>
      </c>
      <c r="R44" s="88"/>
      <c r="T44" s="82">
        <v>150</v>
      </c>
      <c r="U44" s="82"/>
      <c r="V44" s="82">
        <v>151</v>
      </c>
      <c r="W44" s="82">
        <v>152</v>
      </c>
      <c r="X44" s="82">
        <v>153</v>
      </c>
      <c r="Y44" s="82">
        <v>154</v>
      </c>
      <c r="Z44" s="82">
        <v>155</v>
      </c>
      <c r="AA44" s="82">
        <v>156</v>
      </c>
      <c r="AB44" s="82">
        <v>157</v>
      </c>
      <c r="AC44" s="82">
        <v>158</v>
      </c>
      <c r="AD44" s="82">
        <v>159</v>
      </c>
      <c r="AE44" s="82">
        <v>160</v>
      </c>
      <c r="AF44" s="82">
        <v>161</v>
      </c>
    </row>
    <row r="45" spans="2:32" x14ac:dyDescent="0.35">
      <c r="B45" s="110" t="s">
        <v>126</v>
      </c>
      <c r="C45" s="97"/>
      <c r="D45" s="98">
        <v>8.5</v>
      </c>
      <c r="E45" s="98">
        <v>8.5</v>
      </c>
      <c r="F45" s="98">
        <v>8.5</v>
      </c>
      <c r="G45" s="98">
        <v>8.5</v>
      </c>
      <c r="H45" s="98">
        <v>8.5</v>
      </c>
      <c r="I45" s="98">
        <v>8.5</v>
      </c>
      <c r="J45" s="98">
        <v>8.5</v>
      </c>
      <c r="K45" s="98">
        <v>8.5</v>
      </c>
      <c r="L45" s="98">
        <v>8.5</v>
      </c>
      <c r="M45" s="98">
        <v>8.5</v>
      </c>
      <c r="N45" s="98">
        <v>8.5</v>
      </c>
      <c r="O45" s="98">
        <v>8.5</v>
      </c>
      <c r="P45" s="73">
        <f t="shared" si="2"/>
        <v>102</v>
      </c>
      <c r="R45" s="88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</row>
    <row r="46" spans="2:32" x14ac:dyDescent="0.35">
      <c r="B46" s="77"/>
      <c r="C46" s="86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73">
        <f t="shared" si="2"/>
        <v>0</v>
      </c>
    </row>
    <row r="47" spans="2:32" ht="16.5" thickBot="1" x14ac:dyDescent="0.4">
      <c r="B47" s="70" t="s">
        <v>9</v>
      </c>
      <c r="C47" s="44"/>
      <c r="P47" s="73">
        <f t="shared" si="2"/>
        <v>0</v>
      </c>
    </row>
    <row r="48" spans="2:32" ht="16.5" thickBot="1" x14ac:dyDescent="0.4">
      <c r="B48" s="44" t="s">
        <v>51</v>
      </c>
      <c r="C48" s="44"/>
      <c r="D48" s="106" t="s">
        <v>60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8"/>
      <c r="P48" s="73">
        <f t="shared" si="2"/>
        <v>0</v>
      </c>
    </row>
    <row r="49" spans="2:30" ht="35.4" hidden="1" customHeight="1" x14ac:dyDescent="0.35">
      <c r="B49" s="96" t="s">
        <v>57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73">
        <f t="shared" si="2"/>
        <v>0</v>
      </c>
      <c r="R49" s="39">
        <v>200000</v>
      </c>
      <c r="S49" s="39">
        <f>R49</f>
        <v>200000</v>
      </c>
      <c r="T49" s="39">
        <f>S49</f>
        <v>200000</v>
      </c>
      <c r="U49" s="39"/>
      <c r="V49" s="39">
        <f t="shared" ref="V49:V50" si="5">T49</f>
        <v>200000</v>
      </c>
      <c r="W49" s="39">
        <f t="shared" ref="W49:W50" si="6">V49</f>
        <v>200000</v>
      </c>
      <c r="X49" s="39">
        <f t="shared" ref="X49:X50" si="7">W49</f>
        <v>200000</v>
      </c>
      <c r="Y49" s="39">
        <f t="shared" ref="Y49:Y50" si="8">X49</f>
        <v>200000</v>
      </c>
      <c r="Z49" s="39">
        <f t="shared" ref="Z49:Z50" si="9">Y49</f>
        <v>200000</v>
      </c>
      <c r="AA49" s="39">
        <f t="shared" ref="AA49:AA50" si="10">Z49</f>
        <v>200000</v>
      </c>
      <c r="AB49" s="39">
        <f t="shared" ref="AB49:AB50" si="11">AA49</f>
        <v>200000</v>
      </c>
      <c r="AC49" s="39">
        <f t="shared" ref="AC49:AC50" si="12">AB49</f>
        <v>200000</v>
      </c>
      <c r="AD49" s="39">
        <f t="shared" ref="AD49:AD50" si="13">AC49</f>
        <v>200000</v>
      </c>
    </row>
    <row r="50" spans="2:30" ht="32" hidden="1" x14ac:dyDescent="0.35">
      <c r="B50" s="96" t="s">
        <v>58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73">
        <f t="shared" si="2"/>
        <v>0</v>
      </c>
      <c r="R50" s="39">
        <v>100000</v>
      </c>
      <c r="S50" s="39">
        <f>R50</f>
        <v>100000</v>
      </c>
      <c r="T50" s="39">
        <f>S50</f>
        <v>100000</v>
      </c>
      <c r="U50" s="39"/>
      <c r="V50" s="39">
        <f t="shared" si="5"/>
        <v>100000</v>
      </c>
      <c r="W50" s="39">
        <f t="shared" si="6"/>
        <v>100000</v>
      </c>
      <c r="X50" s="39">
        <f t="shared" si="7"/>
        <v>100000</v>
      </c>
      <c r="Y50" s="39">
        <f t="shared" si="8"/>
        <v>100000</v>
      </c>
      <c r="Z50" s="39">
        <f t="shared" si="9"/>
        <v>100000</v>
      </c>
      <c r="AA50" s="39">
        <f t="shared" si="10"/>
        <v>100000</v>
      </c>
      <c r="AB50" s="39">
        <f t="shared" si="11"/>
        <v>100000</v>
      </c>
      <c r="AC50" s="39">
        <f t="shared" si="12"/>
        <v>100000</v>
      </c>
      <c r="AD50" s="39">
        <f t="shared" si="13"/>
        <v>100000</v>
      </c>
    </row>
    <row r="51" spans="2:30" ht="32" hidden="1" x14ac:dyDescent="0.35">
      <c r="B51" s="96" t="s">
        <v>62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3">
        <f t="shared" si="2"/>
        <v>0</v>
      </c>
      <c r="R51" s="75">
        <v>50000</v>
      </c>
      <c r="S51" s="75">
        <v>50000</v>
      </c>
      <c r="T51" s="75">
        <v>50000</v>
      </c>
      <c r="U51" s="75"/>
      <c r="V51" s="75">
        <v>50000</v>
      </c>
      <c r="W51" s="75">
        <v>50000</v>
      </c>
      <c r="X51" s="75">
        <v>50000</v>
      </c>
      <c r="Y51" s="75">
        <v>50000</v>
      </c>
      <c r="Z51" s="75">
        <v>50000</v>
      </c>
      <c r="AA51" s="75">
        <v>50000</v>
      </c>
      <c r="AB51" s="75">
        <v>50000</v>
      </c>
      <c r="AC51" s="75">
        <v>50000</v>
      </c>
      <c r="AD51" s="75">
        <v>50000</v>
      </c>
    </row>
    <row r="52" spans="2:30" ht="32" hidden="1" x14ac:dyDescent="0.35">
      <c r="B52" s="96" t="s">
        <v>63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3">
        <f t="shared" si="2"/>
        <v>0</v>
      </c>
      <c r="R52" s="75">
        <v>2000000</v>
      </c>
      <c r="S52" s="75">
        <v>2000000</v>
      </c>
      <c r="T52" s="75">
        <v>2000000</v>
      </c>
      <c r="U52" s="75"/>
      <c r="V52" s="75">
        <v>2000000</v>
      </c>
      <c r="W52" s="75">
        <v>2000000</v>
      </c>
      <c r="X52" s="75">
        <v>2000000</v>
      </c>
      <c r="Y52" s="75">
        <v>2000000</v>
      </c>
      <c r="Z52" s="75">
        <v>2000000</v>
      </c>
      <c r="AA52" s="75">
        <v>2000000</v>
      </c>
      <c r="AB52" s="75">
        <v>2000000</v>
      </c>
      <c r="AC52" s="75">
        <v>2000000</v>
      </c>
      <c r="AD52" s="75">
        <v>2000000</v>
      </c>
    </row>
    <row r="53" spans="2:30" s="44" customFormat="1" hidden="1" x14ac:dyDescent="0.35">
      <c r="B53" s="68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3">
        <f t="shared" si="2"/>
        <v>0</v>
      </c>
    </row>
    <row r="54" spans="2:30" s="44" customFormat="1" hidden="1" x14ac:dyDescent="0.35"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3">
        <f t="shared" si="2"/>
        <v>0</v>
      </c>
    </row>
    <row r="55" spans="2:30" ht="16.5" thickBot="1" x14ac:dyDescent="0.4">
      <c r="B55" s="78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73">
        <f t="shared" si="2"/>
        <v>0</v>
      </c>
    </row>
    <row r="56" spans="2:30" ht="16.5" thickBot="1" x14ac:dyDescent="0.4">
      <c r="B56" s="79" t="s">
        <v>59</v>
      </c>
      <c r="C56" s="86"/>
      <c r="D56" s="106" t="s">
        <v>60</v>
      </c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8"/>
      <c r="P56" s="73">
        <f t="shared" si="2"/>
        <v>0</v>
      </c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</row>
    <row r="57" spans="2:30" x14ac:dyDescent="0.4">
      <c r="B57" s="95"/>
      <c r="C57" s="86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3">
        <f t="shared" si="2"/>
        <v>0</v>
      </c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</row>
    <row r="58" spans="2:30" x14ac:dyDescent="0.35">
      <c r="B58" s="109" t="s">
        <v>127</v>
      </c>
      <c r="C58" s="86"/>
      <c r="D58" s="75">
        <v>13000</v>
      </c>
      <c r="E58" s="75">
        <v>13000</v>
      </c>
      <c r="F58" s="75">
        <v>13000</v>
      </c>
      <c r="G58" s="75">
        <v>13000</v>
      </c>
      <c r="H58" s="75">
        <v>13000</v>
      </c>
      <c r="I58" s="75">
        <v>13000</v>
      </c>
      <c r="J58" s="75">
        <v>13000</v>
      </c>
      <c r="K58" s="75">
        <v>13000</v>
      </c>
      <c r="L58" s="75">
        <v>13000</v>
      </c>
      <c r="M58" s="75">
        <v>13000</v>
      </c>
      <c r="N58" s="75">
        <v>13000</v>
      </c>
      <c r="O58" s="75">
        <v>13000</v>
      </c>
      <c r="P58" s="73">
        <f t="shared" si="2"/>
        <v>156000</v>
      </c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</row>
    <row r="59" spans="2:30" x14ac:dyDescent="0.35">
      <c r="B59" s="109" t="s">
        <v>118</v>
      </c>
      <c r="C59" s="86"/>
      <c r="D59" s="75">
        <v>4500</v>
      </c>
      <c r="E59" s="75">
        <v>4500</v>
      </c>
      <c r="F59" s="75">
        <v>4500</v>
      </c>
      <c r="G59" s="75">
        <v>4500</v>
      </c>
      <c r="H59" s="75">
        <v>4500</v>
      </c>
      <c r="I59" s="75">
        <v>4500</v>
      </c>
      <c r="J59" s="75">
        <v>4500</v>
      </c>
      <c r="K59" s="75">
        <v>4500</v>
      </c>
      <c r="L59" s="75">
        <v>4500</v>
      </c>
      <c r="M59" s="75">
        <v>4500</v>
      </c>
      <c r="N59" s="75">
        <v>4500</v>
      </c>
      <c r="O59" s="75">
        <v>4500</v>
      </c>
      <c r="P59" s="73">
        <f t="shared" si="2"/>
        <v>54000</v>
      </c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</row>
    <row r="60" spans="2:30" x14ac:dyDescent="0.35">
      <c r="B60" s="109" t="s">
        <v>119</v>
      </c>
      <c r="C60" s="86"/>
      <c r="D60" s="75">
        <v>5500</v>
      </c>
      <c r="E60" s="75">
        <v>5500</v>
      </c>
      <c r="F60" s="75">
        <v>5500</v>
      </c>
      <c r="G60" s="75">
        <v>5500</v>
      </c>
      <c r="H60" s="75">
        <v>5500</v>
      </c>
      <c r="I60" s="75">
        <v>5500</v>
      </c>
      <c r="J60" s="75">
        <v>5500</v>
      </c>
      <c r="K60" s="75">
        <v>5500</v>
      </c>
      <c r="L60" s="75">
        <v>5500</v>
      </c>
      <c r="M60" s="75">
        <v>5500</v>
      </c>
      <c r="N60" s="75">
        <v>5500</v>
      </c>
      <c r="O60" s="75">
        <v>5500</v>
      </c>
      <c r="P60" s="73">
        <f t="shared" si="2"/>
        <v>66000</v>
      </c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</row>
    <row r="61" spans="2:30" x14ac:dyDescent="0.35">
      <c r="B61" s="109" t="s">
        <v>120</v>
      </c>
      <c r="C61" s="86"/>
      <c r="D61" s="75">
        <v>5000</v>
      </c>
      <c r="E61" s="75">
        <v>5000</v>
      </c>
      <c r="F61" s="75">
        <v>5000</v>
      </c>
      <c r="G61" s="75">
        <v>5000</v>
      </c>
      <c r="H61" s="75">
        <v>5000</v>
      </c>
      <c r="I61" s="75">
        <v>5000</v>
      </c>
      <c r="J61" s="75">
        <v>5000</v>
      </c>
      <c r="K61" s="75">
        <v>5000</v>
      </c>
      <c r="L61" s="75">
        <v>5000</v>
      </c>
      <c r="M61" s="75">
        <v>5000</v>
      </c>
      <c r="N61" s="75">
        <v>5000</v>
      </c>
      <c r="O61" s="75">
        <v>5000</v>
      </c>
      <c r="P61" s="73">
        <f t="shared" si="2"/>
        <v>60000</v>
      </c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</row>
    <row r="62" spans="2:30" x14ac:dyDescent="0.35">
      <c r="B62" s="109" t="s">
        <v>121</v>
      </c>
      <c r="C62" s="86"/>
      <c r="D62" s="75">
        <v>14000</v>
      </c>
      <c r="E62" s="75">
        <v>14000</v>
      </c>
      <c r="F62" s="75">
        <v>14000</v>
      </c>
      <c r="G62" s="75">
        <v>14000</v>
      </c>
      <c r="H62" s="75">
        <v>14000</v>
      </c>
      <c r="I62" s="75">
        <v>14000</v>
      </c>
      <c r="J62" s="75">
        <v>14000</v>
      </c>
      <c r="K62" s="75">
        <v>14000</v>
      </c>
      <c r="L62" s="75">
        <v>14000</v>
      </c>
      <c r="M62" s="75">
        <v>14000</v>
      </c>
      <c r="N62" s="75">
        <v>14000</v>
      </c>
      <c r="O62" s="75">
        <v>14000</v>
      </c>
      <c r="P62" s="73">
        <f t="shared" si="2"/>
        <v>168000</v>
      </c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</row>
    <row r="63" spans="2:30" x14ac:dyDescent="0.35">
      <c r="B63" s="109" t="s">
        <v>122</v>
      </c>
      <c r="C63" s="86"/>
      <c r="D63" s="75">
        <v>11500</v>
      </c>
      <c r="E63" s="75">
        <v>11500</v>
      </c>
      <c r="F63" s="75">
        <v>11500</v>
      </c>
      <c r="G63" s="75">
        <v>11500</v>
      </c>
      <c r="H63" s="75">
        <v>11500</v>
      </c>
      <c r="I63" s="75">
        <v>11500</v>
      </c>
      <c r="J63" s="75">
        <v>11500</v>
      </c>
      <c r="K63" s="75">
        <v>11500</v>
      </c>
      <c r="L63" s="75">
        <v>11500</v>
      </c>
      <c r="M63" s="75">
        <v>11500</v>
      </c>
      <c r="N63" s="75">
        <v>11500</v>
      </c>
      <c r="O63" s="75">
        <v>11500</v>
      </c>
      <c r="P63" s="73">
        <f t="shared" si="2"/>
        <v>138000</v>
      </c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</row>
    <row r="64" spans="2:30" x14ac:dyDescent="0.35">
      <c r="B64" s="109" t="s">
        <v>123</v>
      </c>
      <c r="C64" s="86"/>
      <c r="D64" s="75">
        <v>30000</v>
      </c>
      <c r="E64" s="75">
        <v>30000</v>
      </c>
      <c r="F64" s="75">
        <v>30000</v>
      </c>
      <c r="G64" s="75">
        <v>30000</v>
      </c>
      <c r="H64" s="75">
        <v>30000</v>
      </c>
      <c r="I64" s="75">
        <v>30000</v>
      </c>
      <c r="J64" s="75">
        <v>30000</v>
      </c>
      <c r="K64" s="75">
        <f t="shared" ref="K64:K68" si="14">J64</f>
        <v>30000</v>
      </c>
      <c r="L64" s="75">
        <f t="shared" ref="L64:L68" si="15">K64</f>
        <v>30000</v>
      </c>
      <c r="M64" s="75">
        <f t="shared" ref="M64:M68" si="16">L64</f>
        <v>30000</v>
      </c>
      <c r="N64" s="75">
        <f t="shared" ref="N64:N68" si="17">M64</f>
        <v>30000</v>
      </c>
      <c r="O64" s="75">
        <f t="shared" ref="O64:O68" si="18">N64</f>
        <v>30000</v>
      </c>
      <c r="P64" s="73">
        <f t="shared" si="2"/>
        <v>360000</v>
      </c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</row>
    <row r="65" spans="2:30" x14ac:dyDescent="0.35">
      <c r="B65" s="109" t="s">
        <v>130</v>
      </c>
      <c r="C65" s="86"/>
      <c r="D65" s="75">
        <v>22000</v>
      </c>
      <c r="E65" s="75">
        <f t="shared" ref="E65:E68" si="19">D65</f>
        <v>22000</v>
      </c>
      <c r="F65" s="75">
        <f t="shared" ref="F65:F68" si="20">E65</f>
        <v>22000</v>
      </c>
      <c r="G65" s="75">
        <f t="shared" ref="G65:G68" si="21">F65</f>
        <v>22000</v>
      </c>
      <c r="H65" s="75">
        <f t="shared" ref="H65:H68" si="22">G65</f>
        <v>22000</v>
      </c>
      <c r="I65" s="75">
        <f t="shared" ref="I65:I68" si="23">H65</f>
        <v>22000</v>
      </c>
      <c r="J65" s="75">
        <f t="shared" ref="J65:J68" si="24">I65</f>
        <v>22000</v>
      </c>
      <c r="K65" s="75">
        <f t="shared" si="14"/>
        <v>22000</v>
      </c>
      <c r="L65" s="75">
        <f t="shared" si="15"/>
        <v>22000</v>
      </c>
      <c r="M65" s="75">
        <f t="shared" si="16"/>
        <v>22000</v>
      </c>
      <c r="N65" s="75">
        <f t="shared" si="17"/>
        <v>22000</v>
      </c>
      <c r="O65" s="75">
        <f t="shared" si="18"/>
        <v>22000</v>
      </c>
      <c r="P65" s="73">
        <f t="shared" si="2"/>
        <v>264000</v>
      </c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</row>
    <row r="66" spans="2:30" x14ac:dyDescent="0.35">
      <c r="B66" s="109" t="s">
        <v>131</v>
      </c>
      <c r="C66" s="86"/>
      <c r="D66" s="75">
        <v>30000</v>
      </c>
      <c r="E66" s="75">
        <v>30000</v>
      </c>
      <c r="F66" s="75">
        <v>30000</v>
      </c>
      <c r="G66" s="75">
        <v>30000</v>
      </c>
      <c r="H66" s="75">
        <v>30000</v>
      </c>
      <c r="I66" s="75">
        <v>30000</v>
      </c>
      <c r="J66" s="75">
        <v>30000</v>
      </c>
      <c r="K66" s="75">
        <v>30000</v>
      </c>
      <c r="L66" s="75">
        <v>30000</v>
      </c>
      <c r="M66" s="75">
        <v>30000</v>
      </c>
      <c r="N66" s="75">
        <v>30000</v>
      </c>
      <c r="O66" s="75">
        <v>30000</v>
      </c>
      <c r="P66" s="73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</row>
    <row r="67" spans="2:30" x14ac:dyDescent="0.35">
      <c r="B67" s="109" t="s">
        <v>125</v>
      </c>
      <c r="C67" s="86"/>
      <c r="D67" s="75">
        <v>6000</v>
      </c>
      <c r="E67" s="75">
        <f t="shared" si="19"/>
        <v>6000</v>
      </c>
      <c r="F67" s="75">
        <f t="shared" si="20"/>
        <v>6000</v>
      </c>
      <c r="G67" s="75">
        <f t="shared" si="21"/>
        <v>6000</v>
      </c>
      <c r="H67" s="75">
        <f t="shared" si="22"/>
        <v>6000</v>
      </c>
      <c r="I67" s="75">
        <f t="shared" si="23"/>
        <v>6000</v>
      </c>
      <c r="J67" s="75">
        <f t="shared" si="24"/>
        <v>6000</v>
      </c>
      <c r="K67" s="75">
        <f t="shared" si="14"/>
        <v>6000</v>
      </c>
      <c r="L67" s="75">
        <f t="shared" si="15"/>
        <v>6000</v>
      </c>
      <c r="M67" s="75">
        <f t="shared" si="16"/>
        <v>6000</v>
      </c>
      <c r="N67" s="75">
        <f t="shared" si="17"/>
        <v>6000</v>
      </c>
      <c r="O67" s="75">
        <f t="shared" si="18"/>
        <v>6000</v>
      </c>
      <c r="P67" s="73">
        <f t="shared" si="2"/>
        <v>72000</v>
      </c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</row>
    <row r="68" spans="2:30" x14ac:dyDescent="0.35">
      <c r="B68" s="110" t="s">
        <v>126</v>
      </c>
      <c r="C68" s="86"/>
      <c r="D68" s="75">
        <v>6000</v>
      </c>
      <c r="E68" s="75">
        <f t="shared" si="19"/>
        <v>6000</v>
      </c>
      <c r="F68" s="75">
        <f t="shared" si="20"/>
        <v>6000</v>
      </c>
      <c r="G68" s="75">
        <f t="shared" si="21"/>
        <v>6000</v>
      </c>
      <c r="H68" s="75">
        <f t="shared" si="22"/>
        <v>6000</v>
      </c>
      <c r="I68" s="75">
        <f t="shared" si="23"/>
        <v>6000</v>
      </c>
      <c r="J68" s="75">
        <f t="shared" si="24"/>
        <v>6000</v>
      </c>
      <c r="K68" s="75">
        <f t="shared" si="14"/>
        <v>6000</v>
      </c>
      <c r="L68" s="75">
        <f t="shared" si="15"/>
        <v>6000</v>
      </c>
      <c r="M68" s="75">
        <f t="shared" si="16"/>
        <v>6000</v>
      </c>
      <c r="N68" s="75">
        <f t="shared" si="17"/>
        <v>6000</v>
      </c>
      <c r="O68" s="75">
        <f t="shared" si="18"/>
        <v>6000</v>
      </c>
      <c r="P68" s="73">
        <f t="shared" si="2"/>
        <v>72000</v>
      </c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</row>
    <row r="69" spans="2:30" x14ac:dyDescent="0.35">
      <c r="B69" s="77"/>
      <c r="C69" s="86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73">
        <f t="shared" si="2"/>
        <v>0</v>
      </c>
    </row>
    <row r="70" spans="2:30" x14ac:dyDescent="0.35">
      <c r="B70" s="77"/>
      <c r="C70" s="86"/>
      <c r="D70" s="80"/>
    </row>
    <row r="71" spans="2:30" x14ac:dyDescent="0.35">
      <c r="B71" s="70" t="s">
        <v>54</v>
      </c>
    </row>
    <row r="72" spans="2:30" ht="14.5" customHeight="1" x14ac:dyDescent="0.35">
      <c r="B72" s="69"/>
      <c r="C72" s="69"/>
      <c r="D72" s="44" t="s">
        <v>45</v>
      </c>
      <c r="E72" s="44" t="s">
        <v>47</v>
      </c>
      <c r="F72" s="44" t="s">
        <v>48</v>
      </c>
      <c r="G72" s="44" t="s">
        <v>49</v>
      </c>
      <c r="H72" s="44" t="s">
        <v>50</v>
      </c>
    </row>
    <row r="73" spans="2:30" x14ac:dyDescent="0.35">
      <c r="B73" s="69" t="s">
        <v>36</v>
      </c>
      <c r="C73" s="69"/>
      <c r="E73" s="88">
        <v>0.15</v>
      </c>
      <c r="F73" s="88">
        <v>0.15</v>
      </c>
      <c r="G73" s="88">
        <v>0.15</v>
      </c>
      <c r="H73" s="88">
        <v>0.15</v>
      </c>
      <c r="I73" s="88"/>
      <c r="J73" s="89"/>
      <c r="K73" s="89"/>
      <c r="L73" s="89"/>
      <c r="M73" s="89"/>
      <c r="N73" s="89"/>
    </row>
    <row r="74" spans="2:30" x14ac:dyDescent="0.35">
      <c r="B74" s="69" t="s">
        <v>37</v>
      </c>
      <c r="C74" s="69"/>
      <c r="E74" s="88">
        <v>0.15</v>
      </c>
      <c r="F74" s="88">
        <v>0.15</v>
      </c>
      <c r="G74" s="88">
        <v>0.15</v>
      </c>
      <c r="H74" s="88">
        <v>0.15</v>
      </c>
      <c r="I74" s="88"/>
      <c r="J74" s="89"/>
      <c r="K74" s="89"/>
      <c r="L74" s="89"/>
      <c r="M74" s="89"/>
      <c r="N74" s="89"/>
    </row>
    <row r="75" spans="2:30" x14ac:dyDescent="0.35">
      <c r="B75" s="69"/>
      <c r="C75" s="69"/>
      <c r="E75" s="88"/>
      <c r="F75" s="88"/>
      <c r="G75" s="88"/>
      <c r="H75" s="88"/>
      <c r="I75" s="88"/>
      <c r="J75" s="89"/>
      <c r="K75" s="90" t="s">
        <v>66</v>
      </c>
      <c r="L75" s="89"/>
      <c r="M75" s="89"/>
      <c r="N75" s="89"/>
    </row>
    <row r="76" spans="2:30" x14ac:dyDescent="0.35">
      <c r="B76" s="68" t="s">
        <v>39</v>
      </c>
      <c r="C76" s="87"/>
      <c r="E76" s="88">
        <v>0.2</v>
      </c>
      <c r="F76" s="88">
        <v>0.2</v>
      </c>
      <c r="G76" s="88">
        <v>0.2</v>
      </c>
      <c r="H76" s="88">
        <v>0.2</v>
      </c>
      <c r="I76" s="88"/>
      <c r="J76" s="89"/>
      <c r="K76" s="39">
        <f>P5+P13</f>
        <v>74690500</v>
      </c>
      <c r="L76" s="89"/>
      <c r="M76" s="89"/>
      <c r="N76" s="89"/>
    </row>
    <row r="77" spans="2:30" x14ac:dyDescent="0.35">
      <c r="B77" s="68" t="s">
        <v>56</v>
      </c>
      <c r="C77" s="63">
        <v>0.3</v>
      </c>
      <c r="D77" s="39">
        <f>C77*K76</f>
        <v>22407150</v>
      </c>
      <c r="E77" s="88">
        <v>0.1</v>
      </c>
      <c r="F77" s="88">
        <v>0.08</v>
      </c>
      <c r="G77" s="88">
        <v>0.08</v>
      </c>
      <c r="H77" s="88">
        <v>0.06</v>
      </c>
      <c r="I77" s="91" t="s">
        <v>65</v>
      </c>
      <c r="J77" s="89"/>
      <c r="K77" s="39"/>
      <c r="L77" s="89"/>
      <c r="M77" s="89"/>
      <c r="N77" s="89"/>
    </row>
    <row r="78" spans="2:30" x14ac:dyDescent="0.35">
      <c r="B78" s="68" t="s">
        <v>70</v>
      </c>
      <c r="C78" s="63"/>
      <c r="D78" s="39">
        <f>V112</f>
        <v>11981250</v>
      </c>
      <c r="E78" s="88"/>
      <c r="F78" s="88"/>
      <c r="G78" s="88"/>
      <c r="H78" s="88"/>
      <c r="I78" s="91" t="s">
        <v>64</v>
      </c>
      <c r="J78" s="89"/>
      <c r="K78" s="39"/>
      <c r="L78" s="89"/>
      <c r="M78" s="89"/>
      <c r="N78" s="89"/>
    </row>
    <row r="79" spans="2:30" x14ac:dyDescent="0.35">
      <c r="B79" s="68" t="s">
        <v>77</v>
      </c>
      <c r="C79" s="66">
        <v>0.01</v>
      </c>
      <c r="D79" s="39">
        <f>C79*K76</f>
        <v>746905</v>
      </c>
      <c r="E79" s="88"/>
      <c r="F79" s="88"/>
      <c r="G79" s="88"/>
      <c r="H79" s="88"/>
      <c r="I79" s="91"/>
      <c r="J79" s="89"/>
      <c r="K79" s="39"/>
      <c r="L79" s="89"/>
      <c r="M79" s="89"/>
      <c r="N79" s="89"/>
    </row>
    <row r="80" spans="2:30" ht="13.5" customHeight="1" x14ac:dyDescent="0.35">
      <c r="B80" s="68" t="s">
        <v>71</v>
      </c>
      <c r="C80" s="63">
        <v>0</v>
      </c>
      <c r="D80" s="39">
        <f>C80*K76</f>
        <v>0</v>
      </c>
      <c r="E80" s="88">
        <v>0.1</v>
      </c>
      <c r="F80" s="88">
        <v>0.08</v>
      </c>
      <c r="G80" s="88">
        <v>0.05</v>
      </c>
      <c r="H80" s="88">
        <v>0.05</v>
      </c>
      <c r="I80" s="91" t="s">
        <v>65</v>
      </c>
      <c r="J80" s="89"/>
      <c r="K80" s="39"/>
      <c r="L80" s="89"/>
      <c r="M80" s="89"/>
      <c r="N80" s="89"/>
    </row>
    <row r="81" spans="2:14" ht="13.5" customHeight="1" x14ac:dyDescent="0.35">
      <c r="C81" s="63"/>
      <c r="D81" s="39">
        <f>SUM(D77:D80)</f>
        <v>35135305</v>
      </c>
      <c r="E81" s="88"/>
      <c r="F81" s="88"/>
      <c r="G81" s="88"/>
      <c r="H81" s="88"/>
      <c r="I81" s="91"/>
      <c r="J81" s="89"/>
      <c r="K81" s="39"/>
      <c r="L81" s="89"/>
      <c r="M81" s="89"/>
      <c r="N81" s="89"/>
    </row>
    <row r="82" spans="2:14" x14ac:dyDescent="0.35">
      <c r="K82" s="39"/>
    </row>
    <row r="83" spans="2:14" x14ac:dyDescent="0.35">
      <c r="B83" s="68" t="s">
        <v>108</v>
      </c>
      <c r="K83" s="39"/>
    </row>
    <row r="84" spans="2:14" x14ac:dyDescent="0.4">
      <c r="B84" s="55" t="s">
        <v>72</v>
      </c>
      <c r="C84" s="63"/>
      <c r="D84" s="92">
        <f>V118</f>
        <v>0</v>
      </c>
      <c r="E84" s="88">
        <v>0.1</v>
      </c>
      <c r="F84" s="88">
        <v>0.1</v>
      </c>
      <c r="G84" s="88">
        <v>0.1</v>
      </c>
      <c r="H84" s="88">
        <v>0.1</v>
      </c>
      <c r="I84" s="91" t="s">
        <v>109</v>
      </c>
      <c r="K84" s="75"/>
    </row>
    <row r="85" spans="2:14" x14ac:dyDescent="0.4">
      <c r="B85" s="55" t="s">
        <v>30</v>
      </c>
      <c r="C85" s="63">
        <v>0.01</v>
      </c>
      <c r="D85" s="93">
        <f>(D81*C85)/12</f>
        <v>29279.420833333334</v>
      </c>
      <c r="E85" s="89"/>
      <c r="F85" s="89"/>
      <c r="G85" s="89"/>
      <c r="H85" s="89"/>
      <c r="I85" s="68" t="s">
        <v>34</v>
      </c>
    </row>
    <row r="86" spans="2:14" x14ac:dyDescent="0.4">
      <c r="B86" s="55" t="s">
        <v>29</v>
      </c>
      <c r="C86" s="66">
        <v>5.0000000000000001E-4</v>
      </c>
      <c r="D86" s="93">
        <f>(C86*D81)/12</f>
        <v>1463.9710416666667</v>
      </c>
      <c r="E86" s="89"/>
      <c r="F86" s="89"/>
      <c r="G86" s="89"/>
      <c r="H86" s="89"/>
      <c r="I86" s="68" t="s">
        <v>35</v>
      </c>
    </row>
    <row r="87" spans="2:14" x14ac:dyDescent="0.4">
      <c r="B87" s="55" t="s">
        <v>68</v>
      </c>
      <c r="D87" s="92">
        <f>6000000/12</f>
        <v>500000</v>
      </c>
      <c r="E87" s="89"/>
      <c r="F87" s="89"/>
      <c r="G87" s="89"/>
      <c r="H87" s="89"/>
      <c r="I87" s="94" t="s">
        <v>67</v>
      </c>
    </row>
    <row r="88" spans="2:14" x14ac:dyDescent="0.4">
      <c r="B88" s="55" t="s">
        <v>61</v>
      </c>
      <c r="D88" s="92">
        <f>(4000000+6000000+6000000+18000000)/12*0</f>
        <v>0</v>
      </c>
      <c r="F88" s="89"/>
      <c r="G88" s="89"/>
      <c r="H88" s="89"/>
      <c r="I88" s="94" t="s">
        <v>69</v>
      </c>
    </row>
    <row r="89" spans="2:14" x14ac:dyDescent="0.4">
      <c r="B89" s="55" t="s">
        <v>27</v>
      </c>
      <c r="D89" s="92">
        <v>250000</v>
      </c>
      <c r="E89" s="89"/>
      <c r="F89" s="89"/>
      <c r="G89" s="89"/>
      <c r="H89" s="89"/>
      <c r="I89" s="89"/>
    </row>
    <row r="90" spans="2:14" x14ac:dyDescent="0.4">
      <c r="B90" s="55" t="s">
        <v>117</v>
      </c>
      <c r="D90" s="92">
        <f>1000000/12</f>
        <v>83333.333333333328</v>
      </c>
      <c r="E90" s="94"/>
      <c r="F90" s="89"/>
      <c r="G90" s="89"/>
      <c r="H90" s="89"/>
      <c r="I90" s="89"/>
    </row>
    <row r="91" spans="2:14" x14ac:dyDescent="0.4">
      <c r="B91" s="55" t="s">
        <v>46</v>
      </c>
      <c r="D91" s="92">
        <f>3000000/12*0</f>
        <v>0</v>
      </c>
      <c r="E91" s="89"/>
      <c r="F91" s="89"/>
      <c r="G91" s="89"/>
      <c r="H91" s="89"/>
      <c r="I91" s="89"/>
    </row>
    <row r="92" spans="2:14" x14ac:dyDescent="0.4">
      <c r="B92" s="55" t="s">
        <v>112</v>
      </c>
      <c r="D92" s="92"/>
      <c r="E92" s="89"/>
      <c r="F92" s="89"/>
      <c r="G92" s="89"/>
      <c r="H92" s="89"/>
      <c r="I92" s="89"/>
    </row>
    <row r="93" spans="2:14" x14ac:dyDescent="0.4">
      <c r="B93" s="55" t="s">
        <v>24</v>
      </c>
      <c r="D93" s="92">
        <f>1200000*0</f>
        <v>0</v>
      </c>
      <c r="E93" s="89"/>
      <c r="F93" s="89"/>
      <c r="G93" s="89"/>
      <c r="H93" s="89"/>
      <c r="I93" s="89"/>
    </row>
    <row r="94" spans="2:14" x14ac:dyDescent="0.4">
      <c r="B94" s="55" t="s">
        <v>113</v>
      </c>
      <c r="D94" s="92">
        <v>100000</v>
      </c>
      <c r="E94" s="89"/>
      <c r="F94" s="89"/>
      <c r="G94" s="89"/>
      <c r="H94" s="89"/>
      <c r="I94" s="89"/>
    </row>
    <row r="95" spans="2:14" x14ac:dyDescent="0.4">
      <c r="B95" s="55" t="s">
        <v>23</v>
      </c>
      <c r="D95" s="92">
        <f>2500000*0</f>
        <v>0</v>
      </c>
      <c r="E95" s="89"/>
      <c r="F95" s="89"/>
      <c r="G95" s="89"/>
      <c r="H95" s="89"/>
      <c r="I95" s="89"/>
    </row>
    <row r="96" spans="2:14" x14ac:dyDescent="0.4">
      <c r="B96" s="55" t="s">
        <v>73</v>
      </c>
      <c r="D96" s="92">
        <v>100000</v>
      </c>
      <c r="E96" s="89"/>
      <c r="F96" s="89"/>
      <c r="G96" s="89"/>
      <c r="H96" s="89"/>
      <c r="I96" s="89"/>
    </row>
    <row r="97" spans="2:23" x14ac:dyDescent="0.4">
      <c r="B97" s="55" t="s">
        <v>74</v>
      </c>
      <c r="D97" s="92">
        <v>50000</v>
      </c>
      <c r="E97" s="89"/>
      <c r="F97" s="89"/>
      <c r="G97" s="89"/>
      <c r="H97" s="89"/>
      <c r="I97" s="89"/>
    </row>
    <row r="98" spans="2:23" x14ac:dyDescent="0.35">
      <c r="B98" s="68" t="s">
        <v>75</v>
      </c>
      <c r="D98" s="92">
        <f>2000000/12</f>
        <v>166666.66666666666</v>
      </c>
    </row>
    <row r="99" spans="2:23" x14ac:dyDescent="0.35">
      <c r="B99" s="68" t="s">
        <v>104</v>
      </c>
      <c r="C99" s="63">
        <v>0.1</v>
      </c>
      <c r="D99" s="92">
        <f>((C99*K76)/12)/2</f>
        <v>311210.41666666669</v>
      </c>
    </row>
    <row r="100" spans="2:23" ht="32" x14ac:dyDescent="0.4">
      <c r="D100" s="93"/>
      <c r="T100" s="99" t="s">
        <v>103</v>
      </c>
      <c r="U100" s="99" t="s">
        <v>102</v>
      </c>
      <c r="V100" s="99" t="s">
        <v>101</v>
      </c>
    </row>
    <row r="101" spans="2:23" x14ac:dyDescent="0.35">
      <c r="D101" s="93"/>
      <c r="R101" s="48" t="s">
        <v>91</v>
      </c>
      <c r="S101" s="40">
        <v>7</v>
      </c>
      <c r="T101" s="75">
        <v>250000</v>
      </c>
      <c r="U101" s="75">
        <v>299450</v>
      </c>
      <c r="V101" s="39">
        <f>S101*U101</f>
        <v>2096150</v>
      </c>
    </row>
    <row r="102" spans="2:23" x14ac:dyDescent="0.35">
      <c r="D102" s="93"/>
      <c r="R102" s="48" t="s">
        <v>92</v>
      </c>
      <c r="S102" s="40">
        <v>3</v>
      </c>
      <c r="T102" s="75">
        <v>350000</v>
      </c>
      <c r="U102" s="75">
        <v>427350</v>
      </c>
      <c r="V102" s="39">
        <f t="shared" ref="V102:V111" si="25">S102*U102</f>
        <v>1282050</v>
      </c>
    </row>
    <row r="103" spans="2:23" x14ac:dyDescent="0.35">
      <c r="D103" s="93"/>
      <c r="R103" s="48" t="s">
        <v>93</v>
      </c>
      <c r="S103" s="40">
        <v>2</v>
      </c>
      <c r="T103" s="75">
        <v>300000</v>
      </c>
      <c r="U103" s="75">
        <v>362700</v>
      </c>
      <c r="V103" s="39">
        <f t="shared" si="25"/>
        <v>725400</v>
      </c>
    </row>
    <row r="104" spans="2:23" x14ac:dyDescent="0.35">
      <c r="D104" s="93"/>
      <c r="R104" s="48" t="s">
        <v>94</v>
      </c>
      <c r="S104" s="40">
        <v>1</v>
      </c>
      <c r="T104" s="75">
        <v>850000</v>
      </c>
      <c r="U104" s="75">
        <v>1077350</v>
      </c>
      <c r="V104" s="39">
        <f t="shared" si="25"/>
        <v>1077350</v>
      </c>
    </row>
    <row r="105" spans="2:23" x14ac:dyDescent="0.35">
      <c r="D105" s="93"/>
      <c r="R105" s="48" t="s">
        <v>95</v>
      </c>
      <c r="S105" s="40">
        <v>1</v>
      </c>
      <c r="T105" s="75">
        <v>850000</v>
      </c>
      <c r="U105" s="75">
        <v>1077350</v>
      </c>
      <c r="V105" s="39">
        <f t="shared" si="25"/>
        <v>1077350</v>
      </c>
    </row>
    <row r="106" spans="2:23" x14ac:dyDescent="0.35">
      <c r="D106" s="93"/>
      <c r="R106" s="48" t="s">
        <v>96</v>
      </c>
      <c r="S106" s="40">
        <v>1</v>
      </c>
      <c r="T106" s="75">
        <v>800000</v>
      </c>
      <c r="U106" s="75">
        <f>1012550/2</f>
        <v>506275</v>
      </c>
      <c r="V106" s="39">
        <f t="shared" si="25"/>
        <v>506275</v>
      </c>
    </row>
    <row r="107" spans="2:23" x14ac:dyDescent="0.35">
      <c r="D107" s="93"/>
      <c r="R107" s="48" t="s">
        <v>97</v>
      </c>
      <c r="S107" s="40">
        <v>2</v>
      </c>
      <c r="T107" s="75">
        <v>200000</v>
      </c>
      <c r="U107" s="75">
        <v>236800</v>
      </c>
      <c r="V107" s="39">
        <f t="shared" si="25"/>
        <v>473600</v>
      </c>
      <c r="W107" s="68"/>
    </row>
    <row r="108" spans="2:23" x14ac:dyDescent="0.35">
      <c r="D108" s="93"/>
      <c r="R108" s="48" t="s">
        <v>98</v>
      </c>
      <c r="S108" s="40">
        <v>1</v>
      </c>
      <c r="T108" s="102">
        <v>1300000</v>
      </c>
      <c r="U108" s="102">
        <f>1850000/2</f>
        <v>925000</v>
      </c>
      <c r="V108" s="103">
        <f t="shared" si="25"/>
        <v>925000</v>
      </c>
      <c r="W108" s="68" t="s">
        <v>115</v>
      </c>
    </row>
    <row r="109" spans="2:23" x14ac:dyDescent="0.35">
      <c r="D109" s="93"/>
      <c r="R109" s="48" t="s">
        <v>99</v>
      </c>
      <c r="S109" s="40">
        <v>4</v>
      </c>
      <c r="T109" s="75">
        <v>700000</v>
      </c>
      <c r="U109" s="75">
        <f>947500/2</f>
        <v>473750</v>
      </c>
      <c r="V109" s="39">
        <f t="shared" si="25"/>
        <v>1895000</v>
      </c>
      <c r="W109" s="68"/>
    </row>
    <row r="110" spans="2:23" x14ac:dyDescent="0.35">
      <c r="D110" s="93"/>
      <c r="R110" s="48" t="s">
        <v>100</v>
      </c>
      <c r="S110" s="40">
        <v>2</v>
      </c>
      <c r="T110" s="75">
        <v>250000</v>
      </c>
      <c r="U110" s="75">
        <f>427350/2</f>
        <v>213675</v>
      </c>
      <c r="V110" s="39">
        <f t="shared" si="25"/>
        <v>427350</v>
      </c>
      <c r="W110" s="68"/>
    </row>
    <row r="111" spans="2:23" x14ac:dyDescent="0.35">
      <c r="D111" s="93"/>
      <c r="R111" s="48" t="s">
        <v>116</v>
      </c>
      <c r="S111" s="40">
        <v>7</v>
      </c>
      <c r="T111" s="75">
        <v>350000</v>
      </c>
      <c r="U111" s="75">
        <f>427350/2</f>
        <v>213675</v>
      </c>
      <c r="V111" s="39">
        <f t="shared" si="25"/>
        <v>1495725</v>
      </c>
      <c r="W111" s="68"/>
    </row>
    <row r="112" spans="2:23" x14ac:dyDescent="0.35">
      <c r="D112" s="93"/>
      <c r="S112" s="40">
        <f>SUM(S101:S111)</f>
        <v>31</v>
      </c>
      <c r="V112" s="73">
        <f>SUM(V101:V111)</f>
        <v>11981250</v>
      </c>
      <c r="W112" s="68" t="s">
        <v>114</v>
      </c>
    </row>
    <row r="113" spans="4:26" x14ac:dyDescent="0.35">
      <c r="D113" s="93"/>
      <c r="Z113" s="39"/>
    </row>
    <row r="114" spans="4:26" x14ac:dyDescent="0.35">
      <c r="R114" s="40" t="s">
        <v>111</v>
      </c>
    </row>
    <row r="115" spans="4:26" x14ac:dyDescent="0.35">
      <c r="R115" s="68" t="s">
        <v>105</v>
      </c>
      <c r="S115" s="40">
        <v>1</v>
      </c>
      <c r="U115" s="100"/>
      <c r="V115" s="39"/>
      <c r="W115" s="68" t="s">
        <v>107</v>
      </c>
    </row>
    <row r="116" spans="4:26" x14ac:dyDescent="0.35">
      <c r="R116" s="68" t="s">
        <v>106</v>
      </c>
      <c r="S116" s="40">
        <v>1</v>
      </c>
      <c r="U116" s="100"/>
      <c r="V116" s="39"/>
      <c r="W116" s="68" t="s">
        <v>107</v>
      </c>
    </row>
    <row r="118" spans="4:26" x14ac:dyDescent="0.35">
      <c r="V118" s="73">
        <f>SUM(V115:V116)</f>
        <v>0</v>
      </c>
    </row>
  </sheetData>
  <mergeCells count="2">
    <mergeCell ref="D56:O56"/>
    <mergeCell ref="D48:O48"/>
  </mergeCells>
  <phoneticPr fontId="4" type="noConversion"/>
  <dataValidations disablePrompts="1" count="1">
    <dataValidation type="list" allowBlank="1" showInputMessage="1" showErrorMessage="1" sqref="C5 C10:C11 C32:C33 C53:C54" xr:uid="{57E6DC3C-C991-4DFC-8F74-1E542A65FFBF}">
      <formula1>"Upside,Downside,Base case"</formula1>
    </dataValidation>
  </dataValidations>
  <pageMargins left="0.7" right="0.7" top="0.75" bottom="0.75" header="0.3" footer="0.3"/>
  <pageSetup scale="51" orientation="portrait" r:id="rId1"/>
  <rowBreaks count="1" manualBreakCount="1">
    <brk id="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809C-B8C5-4DF2-8BA1-91FBEDEF5392}">
  <sheetPr>
    <outlinePr summaryRight="0"/>
  </sheetPr>
  <dimension ref="A2:Y54"/>
  <sheetViews>
    <sheetView showGridLines="0" tabSelected="1" view="pageBreakPreview" zoomScale="85" zoomScaleNormal="100" zoomScaleSheetLayoutView="85" workbookViewId="0">
      <pane xSplit="3" ySplit="4" topLeftCell="D10" activePane="bottomRight" state="frozen"/>
      <selection pane="topRight" activeCell="D1" sqref="D1"/>
      <selection pane="bottomLeft" activeCell="A5" sqref="A5"/>
      <selection pane="bottomRight" activeCell="C38" sqref="C38"/>
    </sheetView>
  </sheetViews>
  <sheetFormatPr defaultColWidth="9.1796875" defaultRowHeight="16" outlineLevelRow="1" outlineLevelCol="1" x14ac:dyDescent="0.35"/>
  <cols>
    <col min="1" max="1" width="1.453125" style="40" customWidth="1"/>
    <col min="2" max="2" width="36.54296875" style="48" bestFit="1" customWidth="1"/>
    <col min="3" max="3" width="6.81640625" style="40" bestFit="1" customWidth="1"/>
    <col min="4" max="4" width="13.1796875" style="40" bestFit="1" customWidth="1" outlineLevel="1"/>
    <col min="5" max="15" width="14.36328125" style="40" bestFit="1" customWidth="1" outlineLevel="1"/>
    <col min="16" max="16" width="16.1796875" style="44" bestFit="1" customWidth="1"/>
    <col min="17" max="20" width="21.1796875" style="49" customWidth="1" outlineLevel="1"/>
    <col min="21" max="21" width="21.81640625" style="40" customWidth="1"/>
    <col min="22" max="16384" width="9.1796875" style="40"/>
  </cols>
  <sheetData>
    <row r="2" spans="1:25" ht="16.5" thickBot="1" x14ac:dyDescent="0.4">
      <c r="A2" s="35" t="s">
        <v>52</v>
      </c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38"/>
      <c r="S2" s="38"/>
      <c r="T2" s="38"/>
      <c r="U2" s="39"/>
    </row>
    <row r="3" spans="1:25" s="44" customFormat="1" ht="17" thickTop="1" thickBot="1" x14ac:dyDescent="0.4">
      <c r="A3" s="41"/>
      <c r="B3" s="42"/>
      <c r="C3" s="41"/>
      <c r="D3" s="43" t="s">
        <v>79</v>
      </c>
      <c r="E3" s="43" t="s">
        <v>80</v>
      </c>
      <c r="F3" s="43" t="s">
        <v>81</v>
      </c>
      <c r="G3" s="43" t="s">
        <v>82</v>
      </c>
      <c r="H3" s="43" t="s">
        <v>0</v>
      </c>
      <c r="I3" s="43" t="s">
        <v>83</v>
      </c>
      <c r="J3" s="43" t="s">
        <v>84</v>
      </c>
      <c r="K3" s="43" t="s">
        <v>85</v>
      </c>
      <c r="L3" s="43" t="s">
        <v>86</v>
      </c>
      <c r="M3" s="43" t="s">
        <v>87</v>
      </c>
      <c r="N3" s="43" t="s">
        <v>88</v>
      </c>
      <c r="O3" s="43" t="s">
        <v>89</v>
      </c>
      <c r="P3" s="41" t="s">
        <v>45</v>
      </c>
      <c r="Q3" s="41" t="s">
        <v>47</v>
      </c>
      <c r="R3" s="41" t="s">
        <v>48</v>
      </c>
      <c r="S3" s="41" t="s">
        <v>49</v>
      </c>
      <c r="T3" s="41" t="s">
        <v>50</v>
      </c>
      <c r="U3" s="39"/>
      <c r="V3" s="40"/>
      <c r="W3" s="40"/>
      <c r="X3" s="40"/>
      <c r="Y3" s="40"/>
    </row>
    <row r="4" spans="1:25" ht="17" thickTop="1" thickBot="1" x14ac:dyDescent="0.4">
      <c r="A4" s="41"/>
      <c r="B4" s="42"/>
      <c r="C4" s="41"/>
      <c r="D4" s="41" t="s">
        <v>110</v>
      </c>
      <c r="E4" s="41" t="s">
        <v>110</v>
      </c>
      <c r="F4" s="41" t="s">
        <v>110</v>
      </c>
      <c r="G4" s="41" t="s">
        <v>110</v>
      </c>
      <c r="H4" s="41" t="s">
        <v>110</v>
      </c>
      <c r="I4" s="41" t="s">
        <v>110</v>
      </c>
      <c r="J4" s="41" t="s">
        <v>110</v>
      </c>
      <c r="K4" s="41" t="s">
        <v>110</v>
      </c>
      <c r="L4" s="41" t="s">
        <v>110</v>
      </c>
      <c r="M4" s="41" t="s">
        <v>110</v>
      </c>
      <c r="N4" s="41" t="s">
        <v>110</v>
      </c>
      <c r="O4" s="41" t="s">
        <v>110</v>
      </c>
      <c r="P4" s="41" t="s">
        <v>1</v>
      </c>
      <c r="Q4" s="41" t="s">
        <v>1</v>
      </c>
      <c r="R4" s="41" t="s">
        <v>1</v>
      </c>
      <c r="S4" s="41" t="s">
        <v>1</v>
      </c>
      <c r="T4" s="41" t="s">
        <v>1</v>
      </c>
      <c r="U4" s="39"/>
    </row>
    <row r="5" spans="1:25" ht="18" customHeight="1" thickTop="1" thickBot="1" x14ac:dyDescent="0.4">
      <c r="B5" s="45" t="s">
        <v>2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  <c r="R5" s="47"/>
      <c r="S5" s="47"/>
      <c r="T5" s="47"/>
      <c r="U5" s="39"/>
    </row>
    <row r="6" spans="1:25" x14ac:dyDescent="0.35">
      <c r="B6" s="48" t="str">
        <f>'Assumption-(MedFit)'!B13</f>
        <v>Occupational health- Project</v>
      </c>
      <c r="D6" s="59">
        <f>'Assumption-(MedFit)'!D13</f>
        <v>6224208.333333333</v>
      </c>
      <c r="E6" s="59">
        <f>'Assumption-(MedFit)'!E13</f>
        <v>6224208.333333333</v>
      </c>
      <c r="F6" s="59">
        <f>'Assumption-(MedFit)'!F13</f>
        <v>6224208.333333333</v>
      </c>
      <c r="G6" s="59">
        <f>'Assumption-(MedFit)'!G13</f>
        <v>6224208.333333333</v>
      </c>
      <c r="H6" s="59">
        <f>'Assumption-(MedFit)'!H13</f>
        <v>6224208.333333333</v>
      </c>
      <c r="I6" s="59">
        <f>'Assumption-(MedFit)'!I13</f>
        <v>6224208.333333333</v>
      </c>
      <c r="J6" s="59">
        <f>'Assumption-(MedFit)'!J13</f>
        <v>6224208.333333333</v>
      </c>
      <c r="K6" s="59">
        <f>'Assumption-(MedFit)'!K13</f>
        <v>6224208.333333333</v>
      </c>
      <c r="L6" s="59">
        <f>'Assumption-(MedFit)'!L13</f>
        <v>6224208.333333333</v>
      </c>
      <c r="M6" s="59">
        <f>'Assumption-(MedFit)'!M13</f>
        <v>6224208.333333333</v>
      </c>
      <c r="N6" s="59">
        <f>'Assumption-(MedFit)'!N13</f>
        <v>6224208.333333333</v>
      </c>
      <c r="O6" s="59">
        <f>'Assumption-(MedFit)'!O13</f>
        <v>6224208.333333333</v>
      </c>
      <c r="P6" s="60">
        <f>SUM(D6:O6)</f>
        <v>74690500</v>
      </c>
      <c r="Q6" s="50">
        <f>P6*(1+'Assumption-(MedFit)'!E$73)*(1+'Assumption-(MedFit)'!E$76)</f>
        <v>103072890</v>
      </c>
      <c r="R6" s="50">
        <f>Q6*(1+'Assumption-(MedFit)'!F$73)*(1+'Assumption-(MedFit)'!F$76)</f>
        <v>142240588.19999999</v>
      </c>
      <c r="S6" s="50">
        <f>R6*(1+'Assumption-(MedFit)'!G$73)*(1+'Assumption-(MedFit)'!G$76)</f>
        <v>196292011.71599996</v>
      </c>
      <c r="T6" s="50">
        <f>S6*(1+'Assumption-(MedFit)'!H$73)*(1+'Assumption-(MedFit)'!H$76)</f>
        <v>270882976.16807991</v>
      </c>
      <c r="U6" s="39"/>
    </row>
    <row r="7" spans="1:25" ht="16.5" thickBot="1" x14ac:dyDescent="0.4">
      <c r="B7" s="45"/>
      <c r="C7" s="45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2"/>
      <c r="Q7" s="51"/>
      <c r="R7" s="51"/>
      <c r="S7" s="51"/>
      <c r="T7" s="51"/>
      <c r="U7" s="39"/>
    </row>
    <row r="8" spans="1:25" s="44" customFormat="1" ht="16.5" thickBot="1" x14ac:dyDescent="0.4">
      <c r="B8" s="45" t="s">
        <v>3</v>
      </c>
      <c r="C8" s="45"/>
      <c r="D8" s="61">
        <f t="shared" ref="D8:T8" si="0">SUM(D6:D6)</f>
        <v>6224208.333333333</v>
      </c>
      <c r="E8" s="61">
        <f t="shared" si="0"/>
        <v>6224208.333333333</v>
      </c>
      <c r="F8" s="61">
        <f t="shared" si="0"/>
        <v>6224208.333333333</v>
      </c>
      <c r="G8" s="61">
        <f t="shared" si="0"/>
        <v>6224208.333333333</v>
      </c>
      <c r="H8" s="61">
        <f t="shared" si="0"/>
        <v>6224208.333333333</v>
      </c>
      <c r="I8" s="61">
        <f t="shared" si="0"/>
        <v>6224208.333333333</v>
      </c>
      <c r="J8" s="61">
        <f t="shared" si="0"/>
        <v>6224208.333333333</v>
      </c>
      <c r="K8" s="61">
        <f t="shared" si="0"/>
        <v>6224208.333333333</v>
      </c>
      <c r="L8" s="61">
        <f t="shared" si="0"/>
        <v>6224208.333333333</v>
      </c>
      <c r="M8" s="61">
        <f t="shared" si="0"/>
        <v>6224208.333333333</v>
      </c>
      <c r="N8" s="61">
        <f t="shared" si="0"/>
        <v>6224208.333333333</v>
      </c>
      <c r="O8" s="61">
        <f t="shared" si="0"/>
        <v>6224208.333333333</v>
      </c>
      <c r="P8" s="61">
        <f t="shared" si="0"/>
        <v>74690500</v>
      </c>
      <c r="Q8" s="56">
        <f t="shared" si="0"/>
        <v>103072890</v>
      </c>
      <c r="R8" s="56">
        <f t="shared" si="0"/>
        <v>142240588.19999999</v>
      </c>
      <c r="S8" s="56">
        <f t="shared" si="0"/>
        <v>196292011.71599996</v>
      </c>
      <c r="T8" s="56">
        <f t="shared" si="0"/>
        <v>270882976.16807991</v>
      </c>
      <c r="U8" s="39"/>
      <c r="V8" s="40"/>
      <c r="W8" s="40"/>
      <c r="X8" s="40"/>
      <c r="Y8" s="40"/>
    </row>
    <row r="9" spans="1:25" x14ac:dyDescent="0.35">
      <c r="D9" s="59"/>
      <c r="E9" s="101">
        <f>(E8-D8)/D8</f>
        <v>0</v>
      </c>
      <c r="F9" s="101">
        <f t="shared" ref="F9:J9" si="1">(F8-E8)/E8</f>
        <v>0</v>
      </c>
      <c r="G9" s="101">
        <f t="shared" si="1"/>
        <v>0</v>
      </c>
      <c r="H9" s="101">
        <f t="shared" si="1"/>
        <v>0</v>
      </c>
      <c r="I9" s="101">
        <f t="shared" si="1"/>
        <v>0</v>
      </c>
      <c r="J9" s="101">
        <f t="shared" si="1"/>
        <v>0</v>
      </c>
      <c r="K9" s="101">
        <f>(K8-J8)/J8</f>
        <v>0</v>
      </c>
      <c r="L9" s="101">
        <f t="shared" ref="L9" si="2">(L8-K8)/K8</f>
        <v>0</v>
      </c>
      <c r="M9" s="101">
        <f t="shared" ref="M9" si="3">(M8-L8)/L8</f>
        <v>0</v>
      </c>
      <c r="N9" s="101">
        <f t="shared" ref="N9" si="4">(N8-M8)/M8</f>
        <v>0</v>
      </c>
      <c r="O9" s="101">
        <f t="shared" ref="O9" si="5">(O8-N8)/N8</f>
        <v>0</v>
      </c>
      <c r="P9" s="60"/>
      <c r="Q9" s="104">
        <f>(Q8-P8)/P8</f>
        <v>0.38</v>
      </c>
      <c r="R9" s="104">
        <f t="shared" ref="R9:T9" si="6">(R8-Q8)/Q8</f>
        <v>0.37999999999999989</v>
      </c>
      <c r="S9" s="104">
        <f t="shared" si="6"/>
        <v>0.37999999999999984</v>
      </c>
      <c r="T9" s="104">
        <f t="shared" si="6"/>
        <v>0.37999999999999984</v>
      </c>
      <c r="U9" s="39"/>
    </row>
    <row r="10" spans="1:25" ht="16.5" thickBot="1" x14ac:dyDescent="0.4">
      <c r="B10" s="45" t="s">
        <v>4</v>
      </c>
      <c r="C10" s="46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52"/>
      <c r="R10" s="52"/>
      <c r="S10" s="52"/>
      <c r="T10" s="52"/>
      <c r="U10" s="39"/>
    </row>
    <row r="11" spans="1:25" x14ac:dyDescent="0.35">
      <c r="B11" s="48" t="s">
        <v>90</v>
      </c>
      <c r="C11" s="63">
        <v>0.3</v>
      </c>
      <c r="D11" s="59">
        <f>D$8*$C$11</f>
        <v>1867262.4999999998</v>
      </c>
      <c r="E11" s="59">
        <f>E$8*$C$11</f>
        <v>1867262.4999999998</v>
      </c>
      <c r="F11" s="59">
        <f t="shared" ref="F11:O11" si="7">F$8*$C$11</f>
        <v>1867262.4999999998</v>
      </c>
      <c r="G11" s="59">
        <f t="shared" si="7"/>
        <v>1867262.4999999998</v>
      </c>
      <c r="H11" s="59">
        <f t="shared" si="7"/>
        <v>1867262.4999999998</v>
      </c>
      <c r="I11" s="59">
        <f t="shared" si="7"/>
        <v>1867262.4999999998</v>
      </c>
      <c r="J11" s="59">
        <f t="shared" si="7"/>
        <v>1867262.4999999998</v>
      </c>
      <c r="K11" s="59">
        <f t="shared" si="7"/>
        <v>1867262.4999999998</v>
      </c>
      <c r="L11" s="59">
        <f t="shared" si="7"/>
        <v>1867262.4999999998</v>
      </c>
      <c r="M11" s="59">
        <f t="shared" si="7"/>
        <v>1867262.4999999998</v>
      </c>
      <c r="N11" s="59">
        <f t="shared" si="7"/>
        <v>1867262.4999999998</v>
      </c>
      <c r="O11" s="59">
        <f t="shared" si="7"/>
        <v>1867262.4999999998</v>
      </c>
      <c r="P11" s="60">
        <f>SUM(D11:O11)</f>
        <v>22407149.999999996</v>
      </c>
      <c r="Q11" s="50">
        <f>P$8*(1+'Assumption-(MedFit)'!E$77)*'Assumption-(MedFit)'!$C$77</f>
        <v>24647865</v>
      </c>
      <c r="R11" s="50">
        <f>Q$8*(1+'Assumption-(MedFit)'!F$77)*'Assumption-(MedFit)'!$C$77</f>
        <v>33395616.359999999</v>
      </c>
      <c r="S11" s="50">
        <f>R$8*(1+'Assumption-(MedFit)'!G$77)*'Assumption-(MedFit)'!$C$77</f>
        <v>46085950.576799996</v>
      </c>
      <c r="T11" s="50">
        <f>S$8*(1+'Assumption-(MedFit)'!H$77)*'Assumption-(MedFit)'!$C$77</f>
        <v>62420859.725687988</v>
      </c>
      <c r="U11" s="39"/>
    </row>
    <row r="12" spans="1:25" x14ac:dyDescent="0.35">
      <c r="B12" s="48" t="s">
        <v>70</v>
      </c>
      <c r="C12" s="88">
        <f>D12/D8</f>
        <v>1.9249436005917755</v>
      </c>
      <c r="D12" s="59">
        <f>'Assumption-(MedFit)'!V112</f>
        <v>11981250</v>
      </c>
      <c r="E12" s="59">
        <f>D12</f>
        <v>11981250</v>
      </c>
      <c r="F12" s="59">
        <f t="shared" ref="F12:O12" si="8">E12</f>
        <v>11981250</v>
      </c>
      <c r="G12" s="59">
        <f t="shared" si="8"/>
        <v>11981250</v>
      </c>
      <c r="H12" s="59">
        <f t="shared" si="8"/>
        <v>11981250</v>
      </c>
      <c r="I12" s="59">
        <f t="shared" si="8"/>
        <v>11981250</v>
      </c>
      <c r="J12" s="59">
        <f t="shared" si="8"/>
        <v>11981250</v>
      </c>
      <c r="K12" s="59">
        <f t="shared" si="8"/>
        <v>11981250</v>
      </c>
      <c r="L12" s="59">
        <f t="shared" si="8"/>
        <v>11981250</v>
      </c>
      <c r="M12" s="59">
        <f t="shared" si="8"/>
        <v>11981250</v>
      </c>
      <c r="N12" s="59">
        <f t="shared" si="8"/>
        <v>11981250</v>
      </c>
      <c r="O12" s="59">
        <f t="shared" si="8"/>
        <v>11981250</v>
      </c>
      <c r="P12" s="60">
        <f>SUM(D12:O12)</f>
        <v>143775000</v>
      </c>
      <c r="Q12" s="50">
        <f>P12</f>
        <v>143775000</v>
      </c>
      <c r="R12" s="50">
        <f t="shared" ref="R12:T12" si="9">Q12</f>
        <v>143775000</v>
      </c>
      <c r="S12" s="50">
        <f t="shared" si="9"/>
        <v>143775000</v>
      </c>
      <c r="T12" s="50">
        <f t="shared" si="9"/>
        <v>143775000</v>
      </c>
      <c r="U12" s="39"/>
    </row>
    <row r="13" spans="1:25" x14ac:dyDescent="0.35">
      <c r="B13" s="48" t="s">
        <v>77</v>
      </c>
      <c r="C13" s="63">
        <v>0.01</v>
      </c>
      <c r="D13" s="59">
        <f>$C$13*D8</f>
        <v>62242.083333333328</v>
      </c>
      <c r="E13" s="59">
        <f>$C$13*E8</f>
        <v>62242.083333333328</v>
      </c>
      <c r="F13" s="59">
        <f t="shared" ref="F13:O13" si="10">$C$13*F8</f>
        <v>62242.083333333328</v>
      </c>
      <c r="G13" s="59">
        <f t="shared" si="10"/>
        <v>62242.083333333328</v>
      </c>
      <c r="H13" s="59">
        <f t="shared" si="10"/>
        <v>62242.083333333328</v>
      </c>
      <c r="I13" s="59">
        <f t="shared" si="10"/>
        <v>62242.083333333328</v>
      </c>
      <c r="J13" s="59">
        <f t="shared" si="10"/>
        <v>62242.083333333328</v>
      </c>
      <c r="K13" s="59">
        <f t="shared" si="10"/>
        <v>62242.083333333328</v>
      </c>
      <c r="L13" s="59">
        <f t="shared" si="10"/>
        <v>62242.083333333328</v>
      </c>
      <c r="M13" s="59">
        <f t="shared" si="10"/>
        <v>62242.083333333328</v>
      </c>
      <c r="N13" s="59">
        <f t="shared" si="10"/>
        <v>62242.083333333328</v>
      </c>
      <c r="O13" s="59">
        <f t="shared" si="10"/>
        <v>62242.083333333328</v>
      </c>
      <c r="P13" s="60">
        <f>SUM(D13:O13)</f>
        <v>746905</v>
      </c>
      <c r="Q13" s="50">
        <f>Q8*$C$13</f>
        <v>1030728.9</v>
      </c>
      <c r="R13" s="50">
        <f t="shared" ref="R13:T13" si="11">R8*$C$13</f>
        <v>1422405.882</v>
      </c>
      <c r="S13" s="50">
        <f t="shared" si="11"/>
        <v>1962920.1171599997</v>
      </c>
      <c r="T13" s="50">
        <f t="shared" si="11"/>
        <v>2708829.7616807991</v>
      </c>
      <c r="U13" s="39"/>
    </row>
    <row r="14" spans="1:25" x14ac:dyDescent="0.35">
      <c r="B14" s="48" t="s">
        <v>71</v>
      </c>
      <c r="C14" s="63">
        <v>0</v>
      </c>
      <c r="D14" s="59">
        <f>$C$14*D$8</f>
        <v>0</v>
      </c>
      <c r="E14" s="59">
        <f t="shared" ref="E14:O14" si="12">$C$14*E$8</f>
        <v>0</v>
      </c>
      <c r="F14" s="59">
        <f t="shared" si="12"/>
        <v>0</v>
      </c>
      <c r="G14" s="59">
        <f t="shared" si="12"/>
        <v>0</v>
      </c>
      <c r="H14" s="59">
        <f t="shared" si="12"/>
        <v>0</v>
      </c>
      <c r="I14" s="59">
        <f t="shared" si="12"/>
        <v>0</v>
      </c>
      <c r="J14" s="59">
        <f t="shared" si="12"/>
        <v>0</v>
      </c>
      <c r="K14" s="59">
        <f t="shared" si="12"/>
        <v>0</v>
      </c>
      <c r="L14" s="59">
        <f t="shared" si="12"/>
        <v>0</v>
      </c>
      <c r="M14" s="59">
        <f t="shared" si="12"/>
        <v>0</v>
      </c>
      <c r="N14" s="59">
        <f t="shared" si="12"/>
        <v>0</v>
      </c>
      <c r="O14" s="59">
        <f t="shared" si="12"/>
        <v>0</v>
      </c>
      <c r="P14" s="60">
        <f t="shared" ref="P14" si="13">SUM(D14:O14)</f>
        <v>0</v>
      </c>
      <c r="Q14" s="50">
        <f>P$8*(1+'Assumption-(MedFit)'!$E80)*'Assumption-(MedFit)'!$C$80</f>
        <v>0</v>
      </c>
      <c r="R14" s="50">
        <f>Q$8*(1+'Assumption-(MedFit)'!$E80)*'Assumption-(MedFit)'!$C$80</f>
        <v>0</v>
      </c>
      <c r="S14" s="50">
        <f>R$8*(1+'Assumption-(MedFit)'!$E80)*'Assumption-(MedFit)'!$C$80</f>
        <v>0</v>
      </c>
      <c r="T14" s="50">
        <f>S$8*(1+'Assumption-(MedFit)'!$E80)*'Assumption-(MedFit)'!$C$80</f>
        <v>0</v>
      </c>
      <c r="U14" s="39"/>
    </row>
    <row r="15" spans="1:25" ht="16.5" thickBot="1" x14ac:dyDescent="0.4">
      <c r="B15" s="45"/>
      <c r="C15" s="4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105"/>
      <c r="Q15" s="45"/>
      <c r="R15" s="45"/>
      <c r="S15" s="45"/>
      <c r="T15" s="45"/>
      <c r="U15" s="39"/>
    </row>
    <row r="16" spans="1:25" s="44" customFormat="1" ht="16.5" thickBot="1" x14ac:dyDescent="0.4">
      <c r="B16" s="45" t="s">
        <v>44</v>
      </c>
      <c r="C16" s="45"/>
      <c r="D16" s="62">
        <f t="shared" ref="D16:T16" si="14">SUM(D11:D14)</f>
        <v>13910754.583333334</v>
      </c>
      <c r="E16" s="62">
        <f t="shared" si="14"/>
        <v>13910754.583333334</v>
      </c>
      <c r="F16" s="62">
        <f t="shared" si="14"/>
        <v>13910754.583333334</v>
      </c>
      <c r="G16" s="62">
        <f t="shared" si="14"/>
        <v>13910754.583333334</v>
      </c>
      <c r="H16" s="62">
        <f t="shared" si="14"/>
        <v>13910754.583333334</v>
      </c>
      <c r="I16" s="62">
        <f t="shared" si="14"/>
        <v>13910754.583333334</v>
      </c>
      <c r="J16" s="62">
        <f t="shared" si="14"/>
        <v>13910754.583333334</v>
      </c>
      <c r="K16" s="62">
        <f t="shared" si="14"/>
        <v>13910754.583333334</v>
      </c>
      <c r="L16" s="62">
        <f t="shared" si="14"/>
        <v>13910754.583333334</v>
      </c>
      <c r="M16" s="62">
        <f t="shared" si="14"/>
        <v>13910754.583333334</v>
      </c>
      <c r="N16" s="62">
        <f t="shared" si="14"/>
        <v>13910754.583333334</v>
      </c>
      <c r="O16" s="62">
        <f t="shared" si="14"/>
        <v>13910754.583333334</v>
      </c>
      <c r="P16" s="62">
        <f>SUM(P11:P15)</f>
        <v>166929055</v>
      </c>
      <c r="Q16" s="51">
        <f t="shared" si="14"/>
        <v>169453593.90000001</v>
      </c>
      <c r="R16" s="51">
        <f t="shared" si="14"/>
        <v>178593022.24200001</v>
      </c>
      <c r="S16" s="51">
        <f t="shared" si="14"/>
        <v>191823870.69395998</v>
      </c>
      <c r="T16" s="51">
        <f t="shared" si="14"/>
        <v>208904689.48736879</v>
      </c>
      <c r="U16" s="39"/>
      <c r="V16" s="40"/>
      <c r="W16" s="40"/>
      <c r="X16" s="40"/>
      <c r="Y16" s="40"/>
    </row>
    <row r="17" spans="2:21" x14ac:dyDescent="0.35"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50"/>
      <c r="R17" s="50"/>
      <c r="S17" s="50"/>
      <c r="T17" s="50"/>
      <c r="U17" s="39"/>
    </row>
    <row r="18" spans="2:21" ht="16.5" thickBot="1" x14ac:dyDescent="0.4">
      <c r="B18" s="45" t="s">
        <v>10</v>
      </c>
      <c r="C18" s="53"/>
      <c r="D18" s="62">
        <f t="shared" ref="D18:T18" si="15">D8-D16</f>
        <v>-7686546.2500000009</v>
      </c>
      <c r="E18" s="62">
        <f t="shared" si="15"/>
        <v>-7686546.2500000009</v>
      </c>
      <c r="F18" s="62">
        <f t="shared" si="15"/>
        <v>-7686546.2500000009</v>
      </c>
      <c r="G18" s="62">
        <f t="shared" si="15"/>
        <v>-7686546.2500000009</v>
      </c>
      <c r="H18" s="62">
        <f t="shared" si="15"/>
        <v>-7686546.2500000009</v>
      </c>
      <c r="I18" s="62">
        <f t="shared" si="15"/>
        <v>-7686546.2500000009</v>
      </c>
      <c r="J18" s="62">
        <f t="shared" si="15"/>
        <v>-7686546.2500000009</v>
      </c>
      <c r="K18" s="62">
        <f t="shared" si="15"/>
        <v>-7686546.2500000009</v>
      </c>
      <c r="L18" s="62">
        <f t="shared" si="15"/>
        <v>-7686546.2500000009</v>
      </c>
      <c r="M18" s="62">
        <f t="shared" si="15"/>
        <v>-7686546.2500000009</v>
      </c>
      <c r="N18" s="62">
        <f t="shared" si="15"/>
        <v>-7686546.2500000009</v>
      </c>
      <c r="O18" s="62">
        <f t="shared" si="15"/>
        <v>-7686546.2500000009</v>
      </c>
      <c r="P18" s="62">
        <f>P8-P16</f>
        <v>-92238555</v>
      </c>
      <c r="Q18" s="54">
        <f t="shared" si="15"/>
        <v>-66380703.900000006</v>
      </c>
      <c r="R18" s="54">
        <f t="shared" si="15"/>
        <v>-36352434.042000026</v>
      </c>
      <c r="S18" s="54">
        <f t="shared" si="15"/>
        <v>4468141.0220399797</v>
      </c>
      <c r="T18" s="54">
        <f t="shared" si="15"/>
        <v>61978286.68071112</v>
      </c>
      <c r="U18" s="39"/>
    </row>
    <row r="19" spans="2:21" x14ac:dyDescent="0.35"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0"/>
      <c r="S19" s="50"/>
      <c r="T19" s="50"/>
      <c r="U19" s="39"/>
    </row>
    <row r="20" spans="2:21" ht="16.5" thickBot="1" x14ac:dyDescent="0.4">
      <c r="B20" s="45" t="s">
        <v>5</v>
      </c>
      <c r="C20" s="52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52"/>
      <c r="R20" s="52"/>
      <c r="S20" s="52"/>
      <c r="T20" s="52"/>
      <c r="U20" s="39"/>
    </row>
    <row r="21" spans="2:21" x14ac:dyDescent="0.4">
      <c r="B21" s="55" t="s">
        <v>72</v>
      </c>
      <c r="D21" s="59">
        <f>'Assumption-(MedFit)'!V118</f>
        <v>0</v>
      </c>
      <c r="E21" s="59">
        <f>D21</f>
        <v>0</v>
      </c>
      <c r="F21" s="59">
        <f t="shared" ref="F21:O23" si="16">E21</f>
        <v>0</v>
      </c>
      <c r="G21" s="59">
        <f t="shared" si="16"/>
        <v>0</v>
      </c>
      <c r="H21" s="59">
        <f t="shared" si="16"/>
        <v>0</v>
      </c>
      <c r="I21" s="59">
        <f t="shared" si="16"/>
        <v>0</v>
      </c>
      <c r="J21" s="59">
        <f t="shared" si="16"/>
        <v>0</v>
      </c>
      <c r="K21" s="59">
        <f t="shared" si="16"/>
        <v>0</v>
      </c>
      <c r="L21" s="59">
        <f t="shared" si="16"/>
        <v>0</v>
      </c>
      <c r="M21" s="59">
        <f t="shared" si="16"/>
        <v>0</v>
      </c>
      <c r="N21" s="59">
        <f t="shared" si="16"/>
        <v>0</v>
      </c>
      <c r="O21" s="59">
        <f t="shared" si="16"/>
        <v>0</v>
      </c>
      <c r="P21" s="60">
        <f>SUM(D21:O21)</f>
        <v>0</v>
      </c>
      <c r="Q21" s="50">
        <f>P21*(1+'Assumption-(MedFit)'!E$84)</f>
        <v>0</v>
      </c>
      <c r="R21" s="50">
        <f>Q21*(1+'Assumption-(MedFit)'!F$84)</f>
        <v>0</v>
      </c>
      <c r="S21" s="50">
        <f>R21*(1+'Assumption-(MedFit)'!G$84)</f>
        <v>0</v>
      </c>
      <c r="T21" s="50">
        <f>S21*(1+'Assumption-(MedFit)'!H$84)</f>
        <v>0</v>
      </c>
      <c r="U21" s="39"/>
    </row>
    <row r="22" spans="2:21" x14ac:dyDescent="0.4">
      <c r="B22" s="55" t="s">
        <v>30</v>
      </c>
      <c r="C22" s="63"/>
      <c r="D22" s="59">
        <f>'Assumption-(MedFit)'!D85</f>
        <v>29279.420833333334</v>
      </c>
      <c r="E22" s="59">
        <f>D22</f>
        <v>29279.420833333334</v>
      </c>
      <c r="F22" s="59">
        <f t="shared" si="16"/>
        <v>29279.420833333334</v>
      </c>
      <c r="G22" s="59">
        <f t="shared" si="16"/>
        <v>29279.420833333334</v>
      </c>
      <c r="H22" s="59">
        <f t="shared" si="16"/>
        <v>29279.420833333334</v>
      </c>
      <c r="I22" s="59">
        <f t="shared" si="16"/>
        <v>29279.420833333334</v>
      </c>
      <c r="J22" s="59">
        <f t="shared" si="16"/>
        <v>29279.420833333334</v>
      </c>
      <c r="K22" s="59">
        <f t="shared" si="16"/>
        <v>29279.420833333334</v>
      </c>
      <c r="L22" s="59">
        <f t="shared" si="16"/>
        <v>29279.420833333334</v>
      </c>
      <c r="M22" s="59">
        <f t="shared" si="16"/>
        <v>29279.420833333334</v>
      </c>
      <c r="N22" s="59">
        <f t="shared" si="16"/>
        <v>29279.420833333334</v>
      </c>
      <c r="O22" s="59">
        <f t="shared" si="16"/>
        <v>29279.420833333334</v>
      </c>
      <c r="P22" s="60">
        <f t="shared" ref="P22:P35" si="17">SUM(D22:O22)</f>
        <v>351353.05</v>
      </c>
      <c r="Q22" s="50">
        <f>P22*(1+'Assumption-(MedFit)'!E$74)</f>
        <v>404056.00749999995</v>
      </c>
      <c r="R22" s="50">
        <f>Q22*(1+'Assumption-(MedFit)'!F$74)</f>
        <v>464664.40862499992</v>
      </c>
      <c r="S22" s="50">
        <f>R22*(1+'Assumption-(MedFit)'!G$74)</f>
        <v>534364.06991874985</v>
      </c>
      <c r="T22" s="50">
        <f>S22*(1+'Assumption-(MedFit)'!H$74)</f>
        <v>614518.68040656229</v>
      </c>
      <c r="U22" s="39"/>
    </row>
    <row r="23" spans="2:21" x14ac:dyDescent="0.4">
      <c r="B23" s="55" t="s">
        <v>29</v>
      </c>
      <c r="C23" s="65"/>
      <c r="D23" s="59">
        <f>'Assumption-(MedFit)'!D86</f>
        <v>1463.9710416666667</v>
      </c>
      <c r="E23" s="59">
        <f>D23</f>
        <v>1463.9710416666667</v>
      </c>
      <c r="F23" s="59">
        <f t="shared" si="16"/>
        <v>1463.9710416666667</v>
      </c>
      <c r="G23" s="59">
        <f t="shared" si="16"/>
        <v>1463.9710416666667</v>
      </c>
      <c r="H23" s="59">
        <f t="shared" si="16"/>
        <v>1463.9710416666667</v>
      </c>
      <c r="I23" s="59">
        <f t="shared" si="16"/>
        <v>1463.9710416666667</v>
      </c>
      <c r="J23" s="59">
        <f t="shared" si="16"/>
        <v>1463.9710416666667</v>
      </c>
      <c r="K23" s="59">
        <f t="shared" si="16"/>
        <v>1463.9710416666667</v>
      </c>
      <c r="L23" s="59">
        <f t="shared" si="16"/>
        <v>1463.9710416666667</v>
      </c>
      <c r="M23" s="59">
        <f t="shared" si="16"/>
        <v>1463.9710416666667</v>
      </c>
      <c r="N23" s="59">
        <f t="shared" si="16"/>
        <v>1463.9710416666667</v>
      </c>
      <c r="O23" s="59">
        <f t="shared" si="16"/>
        <v>1463.9710416666667</v>
      </c>
      <c r="P23" s="60">
        <f t="shared" si="17"/>
        <v>17567.652500000004</v>
      </c>
      <c r="Q23" s="50">
        <f>P23*(1+'Assumption-(MedFit)'!E$74)</f>
        <v>20202.800375000003</v>
      </c>
      <c r="R23" s="50">
        <f>Q23*(1+'Assumption-(MedFit)'!F$74)</f>
        <v>23233.22043125</v>
      </c>
      <c r="S23" s="50">
        <f>R23*(1+'Assumption-(MedFit)'!G$74)</f>
        <v>26718.203495937498</v>
      </c>
      <c r="T23" s="50">
        <f>S23*(1+'Assumption-(MedFit)'!H$74)</f>
        <v>30725.934020328121</v>
      </c>
      <c r="U23" s="39"/>
    </row>
    <row r="24" spans="2:21" x14ac:dyDescent="0.4">
      <c r="B24" s="55" t="s">
        <v>68</v>
      </c>
      <c r="D24" s="59">
        <f>'Assumption-(MedFit)'!$D$87</f>
        <v>500000</v>
      </c>
      <c r="E24" s="59">
        <f t="shared" ref="E24:O25" si="18">D24</f>
        <v>500000</v>
      </c>
      <c r="F24" s="59">
        <f t="shared" si="18"/>
        <v>500000</v>
      </c>
      <c r="G24" s="59">
        <f t="shared" si="18"/>
        <v>500000</v>
      </c>
      <c r="H24" s="59">
        <f t="shared" si="18"/>
        <v>500000</v>
      </c>
      <c r="I24" s="59">
        <f t="shared" si="18"/>
        <v>500000</v>
      </c>
      <c r="J24" s="59">
        <f t="shared" si="18"/>
        <v>500000</v>
      </c>
      <c r="K24" s="59">
        <f t="shared" si="18"/>
        <v>500000</v>
      </c>
      <c r="L24" s="59">
        <f t="shared" si="18"/>
        <v>500000</v>
      </c>
      <c r="M24" s="59">
        <f t="shared" si="18"/>
        <v>500000</v>
      </c>
      <c r="N24" s="59">
        <f t="shared" si="18"/>
        <v>500000</v>
      </c>
      <c r="O24" s="59">
        <f t="shared" si="18"/>
        <v>500000</v>
      </c>
      <c r="P24" s="60">
        <f t="shared" si="17"/>
        <v>6000000</v>
      </c>
      <c r="Q24" s="50">
        <f>P24*(1+'Assumption-(MedFit)'!E$74)</f>
        <v>6899999.9999999991</v>
      </c>
      <c r="R24" s="50">
        <f>Q24*(1+'Assumption-(MedFit)'!F$74)</f>
        <v>7934999.9999999981</v>
      </c>
      <c r="S24" s="50">
        <f>R24*(1+'Assumption-(MedFit)'!G$74)</f>
        <v>9125249.9999999963</v>
      </c>
      <c r="T24" s="50">
        <f>S24*(1+'Assumption-(MedFit)'!H$74)</f>
        <v>10494037.499999994</v>
      </c>
      <c r="U24" s="39"/>
    </row>
    <row r="25" spans="2:21" x14ac:dyDescent="0.4">
      <c r="B25" s="55" t="s">
        <v>61</v>
      </c>
      <c r="D25" s="59">
        <f>'Assumption-(MedFit)'!D88</f>
        <v>0</v>
      </c>
      <c r="E25" s="59">
        <f t="shared" si="18"/>
        <v>0</v>
      </c>
      <c r="F25" s="59">
        <f t="shared" si="18"/>
        <v>0</v>
      </c>
      <c r="G25" s="59">
        <f t="shared" si="18"/>
        <v>0</v>
      </c>
      <c r="H25" s="59">
        <f t="shared" si="18"/>
        <v>0</v>
      </c>
      <c r="I25" s="59">
        <f t="shared" si="18"/>
        <v>0</v>
      </c>
      <c r="J25" s="59">
        <f t="shared" si="18"/>
        <v>0</v>
      </c>
      <c r="K25" s="59">
        <f t="shared" si="18"/>
        <v>0</v>
      </c>
      <c r="L25" s="59">
        <f t="shared" si="18"/>
        <v>0</v>
      </c>
      <c r="M25" s="59">
        <f t="shared" si="18"/>
        <v>0</v>
      </c>
      <c r="N25" s="59">
        <f t="shared" si="18"/>
        <v>0</v>
      </c>
      <c r="O25" s="59">
        <f t="shared" si="18"/>
        <v>0</v>
      </c>
      <c r="P25" s="60">
        <f t="shared" ref="P25" si="19">SUM(D25:O25)</f>
        <v>0</v>
      </c>
      <c r="Q25" s="50">
        <f>P25*(1+'Assumption-(MedFit)'!E$74)</f>
        <v>0</v>
      </c>
      <c r="R25" s="50">
        <f>Q25*(1+'Assumption-(MedFit)'!F$74)</f>
        <v>0</v>
      </c>
      <c r="S25" s="50">
        <f>R25*(1+'Assumption-(MedFit)'!G$74)</f>
        <v>0</v>
      </c>
      <c r="T25" s="50">
        <f>S25*(1+'Assumption-(MedFit)'!H$74)</f>
        <v>0</v>
      </c>
      <c r="U25" s="39"/>
    </row>
    <row r="26" spans="2:21" x14ac:dyDescent="0.4">
      <c r="B26" s="55" t="s">
        <v>27</v>
      </c>
      <c r="D26" s="59">
        <f>'Assumption-(MedFit)'!$D89</f>
        <v>250000</v>
      </c>
      <c r="E26" s="59">
        <f t="shared" ref="E26:O26" si="20">D26</f>
        <v>250000</v>
      </c>
      <c r="F26" s="59">
        <f t="shared" si="20"/>
        <v>250000</v>
      </c>
      <c r="G26" s="59">
        <f t="shared" si="20"/>
        <v>250000</v>
      </c>
      <c r="H26" s="59">
        <f t="shared" si="20"/>
        <v>250000</v>
      </c>
      <c r="I26" s="59">
        <f t="shared" si="20"/>
        <v>250000</v>
      </c>
      <c r="J26" s="59">
        <f t="shared" si="20"/>
        <v>250000</v>
      </c>
      <c r="K26" s="59">
        <f t="shared" si="20"/>
        <v>250000</v>
      </c>
      <c r="L26" s="59">
        <f t="shared" si="20"/>
        <v>250000</v>
      </c>
      <c r="M26" s="59">
        <f t="shared" si="20"/>
        <v>250000</v>
      </c>
      <c r="N26" s="59">
        <f t="shared" si="20"/>
        <v>250000</v>
      </c>
      <c r="O26" s="59">
        <f t="shared" si="20"/>
        <v>250000</v>
      </c>
      <c r="P26" s="60">
        <f t="shared" si="17"/>
        <v>3000000</v>
      </c>
      <c r="Q26" s="50">
        <f>P26*(1+'Assumption-(MedFit)'!E$74)</f>
        <v>3449999.9999999995</v>
      </c>
      <c r="R26" s="50">
        <f>Q26*(1+'Assumption-(MedFit)'!F$74)</f>
        <v>3967499.9999999991</v>
      </c>
      <c r="S26" s="50">
        <f>R26*(1+'Assumption-(MedFit)'!G$74)</f>
        <v>4562624.9999999981</v>
      </c>
      <c r="T26" s="50">
        <f>S26*(1+'Assumption-(MedFit)'!H$74)</f>
        <v>5247018.7499999972</v>
      </c>
      <c r="U26" s="39"/>
    </row>
    <row r="27" spans="2:21" x14ac:dyDescent="0.4">
      <c r="B27" s="55" t="s">
        <v>117</v>
      </c>
      <c r="D27" s="59">
        <f>'Assumption-(MedFit)'!$D90</f>
        <v>83333.333333333328</v>
      </c>
      <c r="E27" s="59">
        <f t="shared" ref="E27" si="21">D27</f>
        <v>83333.333333333328</v>
      </c>
      <c r="F27" s="59">
        <f t="shared" ref="F27" si="22">E27</f>
        <v>83333.333333333328</v>
      </c>
      <c r="G27" s="59">
        <f t="shared" ref="G27" si="23">F27</f>
        <v>83333.333333333328</v>
      </c>
      <c r="H27" s="59">
        <f t="shared" ref="H27" si="24">G27</f>
        <v>83333.333333333328</v>
      </c>
      <c r="I27" s="59">
        <f t="shared" ref="I27" si="25">H27</f>
        <v>83333.333333333328</v>
      </c>
      <c r="J27" s="59">
        <f t="shared" ref="J27" si="26">I27</f>
        <v>83333.333333333328</v>
      </c>
      <c r="K27" s="59">
        <f t="shared" ref="K27" si="27">J27</f>
        <v>83333.333333333328</v>
      </c>
      <c r="L27" s="59">
        <f t="shared" ref="L27" si="28">K27</f>
        <v>83333.333333333328</v>
      </c>
      <c r="M27" s="59">
        <f t="shared" ref="M27" si="29">L27</f>
        <v>83333.333333333328</v>
      </c>
      <c r="N27" s="59">
        <f t="shared" ref="N27" si="30">M27</f>
        <v>83333.333333333328</v>
      </c>
      <c r="O27" s="59">
        <f t="shared" ref="O27" si="31">N27</f>
        <v>83333.333333333328</v>
      </c>
      <c r="P27" s="60">
        <f t="shared" ref="P27" si="32">SUM(D27:O27)</f>
        <v>1000000.0000000001</v>
      </c>
      <c r="Q27" s="50">
        <f>P27*(1+'Assumption-(MedFit)'!E$74)</f>
        <v>1150000</v>
      </c>
      <c r="R27" s="50">
        <f>Q27*(1+'Assumption-(MedFit)'!F$74)</f>
        <v>1322500</v>
      </c>
      <c r="S27" s="50">
        <f>R27*(1+'Assumption-(MedFit)'!G$74)</f>
        <v>1520874.9999999998</v>
      </c>
      <c r="T27" s="50">
        <f>S27*(1+'Assumption-(MedFit)'!H$74)</f>
        <v>1749006.2499999995</v>
      </c>
      <c r="U27" s="39"/>
    </row>
    <row r="28" spans="2:21" x14ac:dyDescent="0.4">
      <c r="B28" s="55" t="s">
        <v>26</v>
      </c>
      <c r="D28" s="59">
        <f>'Assumption-(MedFit)'!$D91</f>
        <v>0</v>
      </c>
      <c r="E28" s="59">
        <f t="shared" ref="E28:O28" si="33">D28</f>
        <v>0</v>
      </c>
      <c r="F28" s="59">
        <f t="shared" si="33"/>
        <v>0</v>
      </c>
      <c r="G28" s="59">
        <f t="shared" si="33"/>
        <v>0</v>
      </c>
      <c r="H28" s="59">
        <f t="shared" si="33"/>
        <v>0</v>
      </c>
      <c r="I28" s="59">
        <f t="shared" si="33"/>
        <v>0</v>
      </c>
      <c r="J28" s="59">
        <f t="shared" si="33"/>
        <v>0</v>
      </c>
      <c r="K28" s="59">
        <f t="shared" si="33"/>
        <v>0</v>
      </c>
      <c r="L28" s="59">
        <f t="shared" si="33"/>
        <v>0</v>
      </c>
      <c r="M28" s="59">
        <f t="shared" si="33"/>
        <v>0</v>
      </c>
      <c r="N28" s="59">
        <f t="shared" si="33"/>
        <v>0</v>
      </c>
      <c r="O28" s="59">
        <f t="shared" si="33"/>
        <v>0</v>
      </c>
      <c r="P28" s="60">
        <f t="shared" si="17"/>
        <v>0</v>
      </c>
      <c r="Q28" s="50">
        <f>P28*(1+'Assumption-(MedFit)'!E$74)</f>
        <v>0</v>
      </c>
      <c r="R28" s="50">
        <f>Q28*(1+'Assumption-(MedFit)'!F$74)</f>
        <v>0</v>
      </c>
      <c r="S28" s="50">
        <f>R28*(1+'Assumption-(MedFit)'!G$74)</f>
        <v>0</v>
      </c>
      <c r="T28" s="50">
        <f>S28*(1+'Assumption-(MedFit)'!H$74)</f>
        <v>0</v>
      </c>
      <c r="U28" s="39"/>
    </row>
    <row r="29" spans="2:21" x14ac:dyDescent="0.4">
      <c r="B29" s="55" t="s">
        <v>112</v>
      </c>
      <c r="D29" s="59">
        <f>'Assumption-(MedFit)'!$D92</f>
        <v>0</v>
      </c>
      <c r="E29" s="59">
        <f t="shared" ref="E29:O29" si="34">D29</f>
        <v>0</v>
      </c>
      <c r="F29" s="59">
        <f t="shared" si="34"/>
        <v>0</v>
      </c>
      <c r="G29" s="59">
        <f t="shared" si="34"/>
        <v>0</v>
      </c>
      <c r="H29" s="59">
        <f t="shared" si="34"/>
        <v>0</v>
      </c>
      <c r="I29" s="59">
        <f t="shared" si="34"/>
        <v>0</v>
      </c>
      <c r="J29" s="59">
        <f t="shared" si="34"/>
        <v>0</v>
      </c>
      <c r="K29" s="59">
        <f t="shared" si="34"/>
        <v>0</v>
      </c>
      <c r="L29" s="59">
        <f t="shared" si="34"/>
        <v>0</v>
      </c>
      <c r="M29" s="59">
        <f t="shared" si="34"/>
        <v>0</v>
      </c>
      <c r="N29" s="59">
        <f t="shared" si="34"/>
        <v>0</v>
      </c>
      <c r="O29" s="59">
        <f t="shared" si="34"/>
        <v>0</v>
      </c>
      <c r="P29" s="60">
        <f t="shared" si="17"/>
        <v>0</v>
      </c>
      <c r="Q29" s="50">
        <f>P29*(1+'Assumption-(MedFit)'!E$74)</f>
        <v>0</v>
      </c>
      <c r="R29" s="50">
        <f>Q29*(1+'Assumption-(MedFit)'!F$74)</f>
        <v>0</v>
      </c>
      <c r="S29" s="50">
        <f>R29*(1+'Assumption-(MedFit)'!G$74)</f>
        <v>0</v>
      </c>
      <c r="T29" s="50">
        <f>S29*(1+'Assumption-(MedFit)'!H$74)</f>
        <v>0</v>
      </c>
      <c r="U29" s="39"/>
    </row>
    <row r="30" spans="2:21" x14ac:dyDescent="0.4">
      <c r="B30" s="55" t="s">
        <v>24</v>
      </c>
      <c r="D30" s="59">
        <f>'Assumption-(MedFit)'!$D93</f>
        <v>0</v>
      </c>
      <c r="E30" s="59">
        <f t="shared" ref="E30:O30" si="35">D30</f>
        <v>0</v>
      </c>
      <c r="F30" s="59">
        <f t="shared" si="35"/>
        <v>0</v>
      </c>
      <c r="G30" s="59">
        <f t="shared" si="35"/>
        <v>0</v>
      </c>
      <c r="H30" s="59">
        <f t="shared" si="35"/>
        <v>0</v>
      </c>
      <c r="I30" s="59">
        <f t="shared" si="35"/>
        <v>0</v>
      </c>
      <c r="J30" s="59">
        <f t="shared" si="35"/>
        <v>0</v>
      </c>
      <c r="K30" s="59">
        <f t="shared" si="35"/>
        <v>0</v>
      </c>
      <c r="L30" s="59">
        <f t="shared" si="35"/>
        <v>0</v>
      </c>
      <c r="M30" s="59">
        <f t="shared" si="35"/>
        <v>0</v>
      </c>
      <c r="N30" s="59">
        <f t="shared" si="35"/>
        <v>0</v>
      </c>
      <c r="O30" s="59">
        <f t="shared" si="35"/>
        <v>0</v>
      </c>
      <c r="P30" s="60">
        <f t="shared" si="17"/>
        <v>0</v>
      </c>
      <c r="Q30" s="50">
        <f>P30*(1+'Assumption-(MedFit)'!E$74)</f>
        <v>0</v>
      </c>
      <c r="R30" s="50">
        <f>Q30*(1+'Assumption-(MedFit)'!F$74)</f>
        <v>0</v>
      </c>
      <c r="S30" s="50">
        <f>R30*(1+'Assumption-(MedFit)'!G$74)</f>
        <v>0</v>
      </c>
      <c r="T30" s="50">
        <f>S30*(1+'Assumption-(MedFit)'!H$74)</f>
        <v>0</v>
      </c>
      <c r="U30" s="39"/>
    </row>
    <row r="31" spans="2:21" x14ac:dyDescent="0.4">
      <c r="B31" s="55" t="s">
        <v>113</v>
      </c>
      <c r="D31" s="59">
        <f>'Assumption-(MedFit)'!$D94</f>
        <v>100000</v>
      </c>
      <c r="E31" s="59">
        <f t="shared" ref="E31" si="36">D31</f>
        <v>100000</v>
      </c>
      <c r="F31" s="59">
        <f t="shared" ref="F31" si="37">E31</f>
        <v>100000</v>
      </c>
      <c r="G31" s="59">
        <f t="shared" ref="G31" si="38">F31</f>
        <v>100000</v>
      </c>
      <c r="H31" s="59">
        <f t="shared" ref="H31" si="39">G31</f>
        <v>100000</v>
      </c>
      <c r="I31" s="59">
        <f t="shared" ref="I31" si="40">H31</f>
        <v>100000</v>
      </c>
      <c r="J31" s="59">
        <f t="shared" ref="J31" si="41">I31</f>
        <v>100000</v>
      </c>
      <c r="K31" s="59">
        <f t="shared" ref="K31" si="42">J31</f>
        <v>100000</v>
      </c>
      <c r="L31" s="59">
        <f t="shared" ref="L31" si="43">K31</f>
        <v>100000</v>
      </c>
      <c r="M31" s="59">
        <f t="shared" ref="M31" si="44">L31</f>
        <v>100000</v>
      </c>
      <c r="N31" s="59">
        <f t="shared" ref="N31" si="45">M31</f>
        <v>100000</v>
      </c>
      <c r="O31" s="59">
        <f t="shared" ref="O31" si="46">N31</f>
        <v>100000</v>
      </c>
      <c r="P31" s="60">
        <f t="shared" ref="P31" si="47">SUM(D31:O31)</f>
        <v>1200000</v>
      </c>
      <c r="Q31" s="50">
        <f>P31*(1+'Assumption-(MedFit)'!E$74)</f>
        <v>1380000</v>
      </c>
      <c r="R31" s="50">
        <f>Q31*(1+'Assumption-(MedFit)'!F$74)</f>
        <v>1586999.9999999998</v>
      </c>
      <c r="S31" s="50">
        <f>R31*(1+'Assumption-(MedFit)'!G$74)</f>
        <v>1825049.9999999995</v>
      </c>
      <c r="T31" s="50">
        <f>S31*(1+'Assumption-(MedFit)'!H$74)</f>
        <v>2098807.4999999995</v>
      </c>
      <c r="U31" s="39"/>
    </row>
    <row r="32" spans="2:21" x14ac:dyDescent="0.4">
      <c r="B32" s="55" t="s">
        <v>23</v>
      </c>
      <c r="D32" s="59">
        <f>'Assumption-(MedFit)'!$D95</f>
        <v>0</v>
      </c>
      <c r="E32" s="59">
        <f t="shared" ref="E32:O32" si="48">D32</f>
        <v>0</v>
      </c>
      <c r="F32" s="59">
        <f t="shared" si="48"/>
        <v>0</v>
      </c>
      <c r="G32" s="59">
        <f t="shared" si="48"/>
        <v>0</v>
      </c>
      <c r="H32" s="59">
        <f t="shared" si="48"/>
        <v>0</v>
      </c>
      <c r="I32" s="59">
        <f t="shared" si="48"/>
        <v>0</v>
      </c>
      <c r="J32" s="59">
        <f t="shared" si="48"/>
        <v>0</v>
      </c>
      <c r="K32" s="59">
        <f t="shared" si="48"/>
        <v>0</v>
      </c>
      <c r="L32" s="59">
        <f t="shared" si="48"/>
        <v>0</v>
      </c>
      <c r="M32" s="59">
        <f t="shared" si="48"/>
        <v>0</v>
      </c>
      <c r="N32" s="59">
        <f t="shared" si="48"/>
        <v>0</v>
      </c>
      <c r="O32" s="59">
        <f t="shared" si="48"/>
        <v>0</v>
      </c>
      <c r="P32" s="60">
        <f t="shared" si="17"/>
        <v>0</v>
      </c>
      <c r="Q32" s="50">
        <f>P32*(1+'Assumption-(MedFit)'!E$74)</f>
        <v>0</v>
      </c>
      <c r="R32" s="50">
        <f>Q32*(1+'Assumption-(MedFit)'!F$74)</f>
        <v>0</v>
      </c>
      <c r="S32" s="50">
        <f>R32*(1+'Assumption-(MedFit)'!G$74)</f>
        <v>0</v>
      </c>
      <c r="T32" s="50">
        <f>S32*(1+'Assumption-(MedFit)'!H$74)</f>
        <v>0</v>
      </c>
      <c r="U32" s="39"/>
    </row>
    <row r="33" spans="2:21" x14ac:dyDescent="0.4">
      <c r="B33" s="55" t="s">
        <v>73</v>
      </c>
      <c r="D33" s="59">
        <f>'Assumption-(MedFit)'!$D96</f>
        <v>100000</v>
      </c>
      <c r="E33" s="59">
        <f t="shared" ref="E33:O34" si="49">D33</f>
        <v>100000</v>
      </c>
      <c r="F33" s="59">
        <f t="shared" si="49"/>
        <v>100000</v>
      </c>
      <c r="G33" s="59">
        <f t="shared" si="49"/>
        <v>100000</v>
      </c>
      <c r="H33" s="59">
        <f t="shared" si="49"/>
        <v>100000</v>
      </c>
      <c r="I33" s="59">
        <f t="shared" si="49"/>
        <v>100000</v>
      </c>
      <c r="J33" s="59">
        <f t="shared" si="49"/>
        <v>100000</v>
      </c>
      <c r="K33" s="59">
        <f t="shared" si="49"/>
        <v>100000</v>
      </c>
      <c r="L33" s="59">
        <f t="shared" si="49"/>
        <v>100000</v>
      </c>
      <c r="M33" s="59">
        <f t="shared" si="49"/>
        <v>100000</v>
      </c>
      <c r="N33" s="59">
        <f t="shared" si="49"/>
        <v>100000</v>
      </c>
      <c r="O33" s="59">
        <f t="shared" si="49"/>
        <v>100000</v>
      </c>
      <c r="P33" s="60">
        <f t="shared" si="17"/>
        <v>1200000</v>
      </c>
      <c r="Q33" s="50">
        <f>P33*(1+'Assumption-(MedFit)'!E$74)</f>
        <v>1380000</v>
      </c>
      <c r="R33" s="50">
        <f>Q33*(1+'Assumption-(MedFit)'!F$74)</f>
        <v>1586999.9999999998</v>
      </c>
      <c r="S33" s="50">
        <f>R33*(1+'Assumption-(MedFit)'!G$74)</f>
        <v>1825049.9999999995</v>
      </c>
      <c r="T33" s="50">
        <f>S33*(1+'Assumption-(MedFit)'!H$74)</f>
        <v>2098807.4999999995</v>
      </c>
      <c r="U33" s="39"/>
    </row>
    <row r="34" spans="2:21" x14ac:dyDescent="0.35">
      <c r="B34" s="34" t="s">
        <v>75</v>
      </c>
      <c r="D34" s="59">
        <f>'Assumption-(MedFit)'!$D97</f>
        <v>50000</v>
      </c>
      <c r="E34" s="59">
        <f t="shared" si="49"/>
        <v>50000</v>
      </c>
      <c r="F34" s="59">
        <f t="shared" si="49"/>
        <v>50000</v>
      </c>
      <c r="G34" s="59">
        <f t="shared" si="49"/>
        <v>50000</v>
      </c>
      <c r="H34" s="59">
        <f t="shared" si="49"/>
        <v>50000</v>
      </c>
      <c r="I34" s="59">
        <f t="shared" si="49"/>
        <v>50000</v>
      </c>
      <c r="J34" s="59">
        <f t="shared" si="49"/>
        <v>50000</v>
      </c>
      <c r="K34" s="59">
        <f t="shared" si="49"/>
        <v>50000</v>
      </c>
      <c r="L34" s="59">
        <f t="shared" si="49"/>
        <v>50000</v>
      </c>
      <c r="M34" s="59">
        <f t="shared" si="49"/>
        <v>50000</v>
      </c>
      <c r="N34" s="59">
        <f t="shared" si="49"/>
        <v>50000</v>
      </c>
      <c r="O34" s="59">
        <f t="shared" si="49"/>
        <v>50000</v>
      </c>
      <c r="P34" s="60">
        <f t="shared" ref="P34" si="50">SUM(D34:O34)</f>
        <v>600000</v>
      </c>
      <c r="Q34" s="50">
        <f>P34*(1+'Assumption-(MedFit)'!E$74)</f>
        <v>690000</v>
      </c>
      <c r="R34" s="50">
        <f>Q34*(1+'Assumption-(MedFit)'!F$74)</f>
        <v>793499.99999999988</v>
      </c>
      <c r="S34" s="50">
        <f>R34*(1+'Assumption-(MedFit)'!G$74)</f>
        <v>912524.99999999977</v>
      </c>
      <c r="T34" s="50">
        <f>S34*(1+'Assumption-(MedFit)'!H$74)</f>
        <v>1049403.7499999998</v>
      </c>
      <c r="U34" s="39"/>
    </row>
    <row r="35" spans="2:21" x14ac:dyDescent="0.35">
      <c r="B35" s="34" t="s">
        <v>104</v>
      </c>
      <c r="D35" s="59">
        <f>'Assumption-(MedFit)'!D99</f>
        <v>311210.41666666669</v>
      </c>
      <c r="E35" s="59">
        <f t="shared" ref="E35:O35" si="51">D35</f>
        <v>311210.41666666669</v>
      </c>
      <c r="F35" s="59">
        <f t="shared" si="51"/>
        <v>311210.41666666669</v>
      </c>
      <c r="G35" s="59">
        <f t="shared" si="51"/>
        <v>311210.41666666669</v>
      </c>
      <c r="H35" s="59">
        <f t="shared" si="51"/>
        <v>311210.41666666669</v>
      </c>
      <c r="I35" s="59">
        <f t="shared" si="51"/>
        <v>311210.41666666669</v>
      </c>
      <c r="J35" s="59">
        <f t="shared" si="51"/>
        <v>311210.41666666669</v>
      </c>
      <c r="K35" s="59">
        <f t="shared" si="51"/>
        <v>311210.41666666669</v>
      </c>
      <c r="L35" s="59">
        <f t="shared" si="51"/>
        <v>311210.41666666669</v>
      </c>
      <c r="M35" s="59">
        <f t="shared" si="51"/>
        <v>311210.41666666669</v>
      </c>
      <c r="N35" s="59">
        <f t="shared" si="51"/>
        <v>311210.41666666669</v>
      </c>
      <c r="O35" s="59">
        <f t="shared" si="51"/>
        <v>311210.41666666669</v>
      </c>
      <c r="P35" s="60">
        <f t="shared" si="17"/>
        <v>3734524.9999999995</v>
      </c>
      <c r="Q35" s="50">
        <f>P35*(1+'Assumption-(MedFit)'!E$74)</f>
        <v>4294703.7499999991</v>
      </c>
      <c r="R35" s="50">
        <f>Q35*(1+'Assumption-(MedFit)'!F$74)</f>
        <v>4938909.3124999981</v>
      </c>
      <c r="S35" s="50">
        <f>R35*(1+'Assumption-(MedFit)'!G$74)</f>
        <v>5679745.7093749978</v>
      </c>
      <c r="T35" s="50">
        <f>S35*(1+'Assumption-(MedFit)'!H$74)</f>
        <v>6531707.5657812469</v>
      </c>
      <c r="U35" s="39"/>
    </row>
    <row r="36" spans="2:21" ht="16.5" thickBot="1" x14ac:dyDescent="0.4">
      <c r="B36" s="56"/>
      <c r="C36" s="52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52"/>
      <c r="R36" s="52"/>
      <c r="S36" s="52"/>
      <c r="T36" s="52"/>
      <c r="U36" s="39"/>
    </row>
    <row r="37" spans="2:21" ht="16.5" thickBot="1" x14ac:dyDescent="0.4">
      <c r="B37" s="57" t="s">
        <v>38</v>
      </c>
      <c r="C37" s="52"/>
      <c r="D37" s="61">
        <f>SUM(D21:D35)</f>
        <v>1425287.141875</v>
      </c>
      <c r="E37" s="61">
        <f t="shared" ref="E37:O37" si="52">SUM(E21:E35)</f>
        <v>1425287.141875</v>
      </c>
      <c r="F37" s="61">
        <f>SUM(F21:F35)</f>
        <v>1425287.141875</v>
      </c>
      <c r="G37" s="61">
        <f t="shared" si="52"/>
        <v>1425287.141875</v>
      </c>
      <c r="H37" s="61">
        <f t="shared" si="52"/>
        <v>1425287.141875</v>
      </c>
      <c r="I37" s="61">
        <f t="shared" si="52"/>
        <v>1425287.141875</v>
      </c>
      <c r="J37" s="61">
        <f t="shared" si="52"/>
        <v>1425287.141875</v>
      </c>
      <c r="K37" s="61">
        <f t="shared" si="52"/>
        <v>1425287.141875</v>
      </c>
      <c r="L37" s="61">
        <f t="shared" si="52"/>
        <v>1425287.141875</v>
      </c>
      <c r="M37" s="61">
        <f t="shared" si="52"/>
        <v>1425287.141875</v>
      </c>
      <c r="N37" s="61">
        <f t="shared" si="52"/>
        <v>1425287.141875</v>
      </c>
      <c r="O37" s="61">
        <f t="shared" si="52"/>
        <v>1425287.141875</v>
      </c>
      <c r="P37" s="61">
        <f>SUM(P21:P35)</f>
        <v>17103445.702500001</v>
      </c>
      <c r="Q37" s="52">
        <f>SUM(Q21:Q35)</f>
        <v>19668962.557874996</v>
      </c>
      <c r="R37" s="52">
        <f t="shared" ref="R37:T37" si="53">SUM(R21:R35)</f>
        <v>22619306.941556245</v>
      </c>
      <c r="S37" s="52">
        <f t="shared" si="53"/>
        <v>26012202.98278968</v>
      </c>
      <c r="T37" s="52">
        <f t="shared" si="53"/>
        <v>29914033.430208128</v>
      </c>
      <c r="U37" s="39"/>
    </row>
    <row r="38" spans="2:21" ht="16.5" thickBot="1" x14ac:dyDescent="0.4">
      <c r="B38" s="56"/>
      <c r="C38" s="52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50"/>
      <c r="R38" s="50"/>
      <c r="S38" s="50"/>
      <c r="T38" s="50"/>
      <c r="U38" s="39"/>
    </row>
    <row r="39" spans="2:21" ht="16.5" thickBot="1" x14ac:dyDescent="0.4">
      <c r="B39" s="57" t="s">
        <v>6</v>
      </c>
      <c r="C39" s="52"/>
      <c r="D39" s="61">
        <f t="shared" ref="D39:T39" si="54">D18-D37</f>
        <v>-9111833.3918750007</v>
      </c>
      <c r="E39" s="61">
        <f t="shared" si="54"/>
        <v>-9111833.3918750007</v>
      </c>
      <c r="F39" s="61">
        <f t="shared" si="54"/>
        <v>-9111833.3918750007</v>
      </c>
      <c r="G39" s="61">
        <f t="shared" si="54"/>
        <v>-9111833.3918750007</v>
      </c>
      <c r="H39" s="61">
        <f t="shared" si="54"/>
        <v>-9111833.3918750007</v>
      </c>
      <c r="I39" s="61">
        <f t="shared" si="54"/>
        <v>-9111833.3918750007</v>
      </c>
      <c r="J39" s="61">
        <f t="shared" si="54"/>
        <v>-9111833.3918750007</v>
      </c>
      <c r="K39" s="61">
        <f t="shared" si="54"/>
        <v>-9111833.3918750007</v>
      </c>
      <c r="L39" s="61">
        <f t="shared" si="54"/>
        <v>-9111833.3918750007</v>
      </c>
      <c r="M39" s="61">
        <f t="shared" si="54"/>
        <v>-9111833.3918750007</v>
      </c>
      <c r="N39" s="61">
        <f t="shared" si="54"/>
        <v>-9111833.3918750007</v>
      </c>
      <c r="O39" s="61">
        <f t="shared" si="54"/>
        <v>-9111833.3918750007</v>
      </c>
      <c r="P39" s="61">
        <f t="shared" si="54"/>
        <v>-109342000.7025</v>
      </c>
      <c r="Q39" s="52">
        <f t="shared" si="54"/>
        <v>-86049666.457874998</v>
      </c>
      <c r="R39" s="52">
        <f t="shared" si="54"/>
        <v>-58971740.983556271</v>
      </c>
      <c r="S39" s="52">
        <f t="shared" si="54"/>
        <v>-21544061.960749701</v>
      </c>
      <c r="T39" s="52">
        <f t="shared" si="54"/>
        <v>32064253.250502992</v>
      </c>
      <c r="U39" s="39"/>
    </row>
    <row r="40" spans="2:21" x14ac:dyDescent="0.35">
      <c r="B40" s="34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  <c r="Q40" s="50"/>
      <c r="R40" s="50"/>
      <c r="S40" s="50"/>
      <c r="T40" s="50"/>
      <c r="U40" s="39"/>
    </row>
    <row r="41" spans="2:21" x14ac:dyDescent="0.35">
      <c r="B41" s="34" t="s">
        <v>74</v>
      </c>
      <c r="D41" s="59">
        <f>'Assumption-(MedFit)'!D97</f>
        <v>50000</v>
      </c>
      <c r="E41" s="59">
        <f t="shared" ref="E41:O41" si="55">D41</f>
        <v>50000</v>
      </c>
      <c r="F41" s="59">
        <f t="shared" si="55"/>
        <v>50000</v>
      </c>
      <c r="G41" s="59">
        <f t="shared" si="55"/>
        <v>50000</v>
      </c>
      <c r="H41" s="59">
        <f t="shared" si="55"/>
        <v>50000</v>
      </c>
      <c r="I41" s="59">
        <f t="shared" si="55"/>
        <v>50000</v>
      </c>
      <c r="J41" s="59">
        <f t="shared" si="55"/>
        <v>50000</v>
      </c>
      <c r="K41" s="59">
        <f t="shared" si="55"/>
        <v>50000</v>
      </c>
      <c r="L41" s="59">
        <f t="shared" si="55"/>
        <v>50000</v>
      </c>
      <c r="M41" s="59">
        <f t="shared" si="55"/>
        <v>50000</v>
      </c>
      <c r="N41" s="59">
        <f t="shared" si="55"/>
        <v>50000</v>
      </c>
      <c r="O41" s="59">
        <f t="shared" si="55"/>
        <v>50000</v>
      </c>
      <c r="P41" s="60">
        <f t="shared" ref="P41" si="56">SUM(D41:O41)</f>
        <v>600000</v>
      </c>
      <c r="Q41" s="50">
        <f>P41*(1+'Assumption-(MedFit)'!E$74)</f>
        <v>690000</v>
      </c>
      <c r="R41" s="50">
        <f>Q41*(1+'Assumption-(MedFit)'!F$74)</f>
        <v>793499.99999999988</v>
      </c>
      <c r="S41" s="50">
        <f>R41*(1+'Assumption-(MedFit)'!G$74)</f>
        <v>912524.99999999977</v>
      </c>
      <c r="T41" s="50">
        <f>S41*(1+'Assumption-(MedFit)'!H$74)</f>
        <v>1049403.7499999998</v>
      </c>
      <c r="U41" s="39"/>
    </row>
    <row r="42" spans="2:21" ht="16.5" thickBot="1" x14ac:dyDescent="0.4">
      <c r="B42" s="45"/>
      <c r="C42" s="53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2"/>
      <c r="Q42" s="54"/>
      <c r="R42" s="54"/>
      <c r="S42" s="54"/>
      <c r="T42" s="54"/>
      <c r="U42" s="39"/>
    </row>
    <row r="43" spans="2:21" ht="16.5" thickBot="1" x14ac:dyDescent="0.4">
      <c r="B43" s="45" t="s">
        <v>76</v>
      </c>
      <c r="C43" s="53"/>
      <c r="D43" s="61">
        <f>D39-D41</f>
        <v>-9161833.3918750007</v>
      </c>
      <c r="E43" s="61">
        <f t="shared" ref="E43:T43" si="57">E39-E41</f>
        <v>-9161833.3918750007</v>
      </c>
      <c r="F43" s="61">
        <f t="shared" si="57"/>
        <v>-9161833.3918750007</v>
      </c>
      <c r="G43" s="61">
        <f t="shared" si="57"/>
        <v>-9161833.3918750007</v>
      </c>
      <c r="H43" s="61">
        <f t="shared" si="57"/>
        <v>-9161833.3918750007</v>
      </c>
      <c r="I43" s="61">
        <f t="shared" si="57"/>
        <v>-9161833.3918750007</v>
      </c>
      <c r="J43" s="61">
        <f t="shared" si="57"/>
        <v>-9161833.3918750007</v>
      </c>
      <c r="K43" s="61">
        <f t="shared" si="57"/>
        <v>-9161833.3918750007</v>
      </c>
      <c r="L43" s="61">
        <f t="shared" si="57"/>
        <v>-9161833.3918750007</v>
      </c>
      <c r="M43" s="61">
        <f t="shared" si="57"/>
        <v>-9161833.3918750007</v>
      </c>
      <c r="N43" s="61">
        <f t="shared" si="57"/>
        <v>-9161833.3918750007</v>
      </c>
      <c r="O43" s="61">
        <f t="shared" si="57"/>
        <v>-9161833.3918750007</v>
      </c>
      <c r="P43" s="61">
        <f t="shared" si="57"/>
        <v>-109942000.7025</v>
      </c>
      <c r="Q43" s="61">
        <f t="shared" si="57"/>
        <v>-86739666.457874998</v>
      </c>
      <c r="R43" s="61">
        <f t="shared" si="57"/>
        <v>-59765240.983556271</v>
      </c>
      <c r="S43" s="61">
        <f t="shared" si="57"/>
        <v>-22456586.960749701</v>
      </c>
      <c r="T43" s="61">
        <f t="shared" si="57"/>
        <v>31014849.500502992</v>
      </c>
      <c r="U43" s="39"/>
    </row>
    <row r="44" spans="2:21" ht="16.5" thickBot="1" x14ac:dyDescent="0.4">
      <c r="B44" s="45"/>
      <c r="C44" s="53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105">
        <f>P43/P8</f>
        <v>-1.4719676625876115</v>
      </c>
      <c r="Q44" s="105">
        <f t="shared" ref="Q44:T44" si="58">Q43/Q8</f>
        <v>-0.84153715354129488</v>
      </c>
      <c r="R44" s="105">
        <f t="shared" si="58"/>
        <v>-0.42017009167258407</v>
      </c>
      <c r="S44" s="105">
        <f t="shared" si="58"/>
        <v>-0.11440397785132711</v>
      </c>
      <c r="T44" s="105">
        <f t="shared" si="58"/>
        <v>0.11449538077010281</v>
      </c>
      <c r="U44" s="39"/>
    </row>
    <row r="45" spans="2:21" ht="16.5" hidden="1" thickBot="1" x14ac:dyDescent="0.4">
      <c r="B45" s="45" t="s">
        <v>40</v>
      </c>
      <c r="C45" s="53"/>
      <c r="D45" s="61">
        <f>D43</f>
        <v>-9161833.3918750007</v>
      </c>
      <c r="E45" s="61">
        <f>D45+E43</f>
        <v>-18323666.783750001</v>
      </c>
      <c r="F45" s="61">
        <f t="shared" ref="F45:O45" si="59">E45+F43</f>
        <v>-27485500.175625004</v>
      </c>
      <c r="G45" s="61">
        <f t="shared" si="59"/>
        <v>-36647333.567500003</v>
      </c>
      <c r="H45" s="61">
        <f t="shared" si="59"/>
        <v>-45809166.959375001</v>
      </c>
      <c r="I45" s="61">
        <f t="shared" si="59"/>
        <v>-54971000.35125</v>
      </c>
      <c r="J45" s="61">
        <f t="shared" si="59"/>
        <v>-64132833.743124999</v>
      </c>
      <c r="K45" s="61">
        <f t="shared" si="59"/>
        <v>-73294667.135000005</v>
      </c>
      <c r="L45" s="61">
        <f t="shared" si="59"/>
        <v>-82456500.526875004</v>
      </c>
      <c r="M45" s="61">
        <f t="shared" si="59"/>
        <v>-91618333.918750003</v>
      </c>
      <c r="N45" s="61">
        <f t="shared" si="59"/>
        <v>-100780167.310625</v>
      </c>
      <c r="O45" s="61">
        <f t="shared" si="59"/>
        <v>-109942000.7025</v>
      </c>
      <c r="P45" s="61">
        <f>P43</f>
        <v>-109942000.7025</v>
      </c>
      <c r="Q45" s="54">
        <f>P45+Q39</f>
        <v>-195991667.160375</v>
      </c>
      <c r="R45" s="54">
        <f t="shared" ref="R45:T45" si="60">Q45+R39</f>
        <v>-254963408.14393127</v>
      </c>
      <c r="S45" s="54">
        <f t="shared" si="60"/>
        <v>-276507470.10468096</v>
      </c>
      <c r="T45" s="54">
        <f t="shared" si="60"/>
        <v>-244443216.85417795</v>
      </c>
      <c r="U45" s="39"/>
    </row>
    <row r="46" spans="2:21" ht="16.5" hidden="1" outlineLevel="1" thickBot="1" x14ac:dyDescent="0.4">
      <c r="B46" s="45"/>
      <c r="C46" s="53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2"/>
      <c r="Q46" s="54"/>
      <c r="R46" s="54"/>
      <c r="S46" s="54"/>
      <c r="T46" s="54"/>
      <c r="U46" s="39"/>
    </row>
    <row r="47" spans="2:21" ht="16.5" hidden="1" outlineLevel="1" thickBot="1" x14ac:dyDescent="0.4">
      <c r="B47" s="45" t="s">
        <v>41</v>
      </c>
      <c r="C47" s="53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2"/>
      <c r="Q47" s="54"/>
      <c r="R47" s="54"/>
      <c r="S47" s="54"/>
      <c r="T47" s="54"/>
      <c r="U47" s="39"/>
    </row>
    <row r="48" spans="2:21" ht="16.5" hidden="1" outlineLevel="1" thickBot="1" x14ac:dyDescent="0.4">
      <c r="B48" s="45"/>
      <c r="C48" s="53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2"/>
      <c r="Q48" s="54"/>
      <c r="R48" s="54"/>
      <c r="S48" s="54"/>
      <c r="T48" s="54"/>
      <c r="U48" s="39"/>
    </row>
    <row r="49" spans="2:21" ht="16.5" hidden="1" outlineLevel="1" thickBot="1" x14ac:dyDescent="0.4">
      <c r="B49" s="45" t="s">
        <v>42</v>
      </c>
      <c r="C49" s="53"/>
      <c r="D49" s="61">
        <f>D45-D47</f>
        <v>-9161833.3918750007</v>
      </c>
      <c r="E49" s="61">
        <f t="shared" ref="E49:O49" si="61">E45-E47</f>
        <v>-18323666.783750001</v>
      </c>
      <c r="F49" s="61">
        <f t="shared" si="61"/>
        <v>-27485500.175625004</v>
      </c>
      <c r="G49" s="61">
        <f t="shared" si="61"/>
        <v>-36647333.567500003</v>
      </c>
      <c r="H49" s="61">
        <f t="shared" si="61"/>
        <v>-45809166.959375001</v>
      </c>
      <c r="I49" s="61">
        <f t="shared" si="61"/>
        <v>-54971000.35125</v>
      </c>
      <c r="J49" s="61">
        <f t="shared" si="61"/>
        <v>-64132833.743124999</v>
      </c>
      <c r="K49" s="61">
        <f t="shared" si="61"/>
        <v>-73294667.135000005</v>
      </c>
      <c r="L49" s="61">
        <f t="shared" si="61"/>
        <v>-82456500.526875004</v>
      </c>
      <c r="M49" s="61">
        <f t="shared" si="61"/>
        <v>-91618333.918750003</v>
      </c>
      <c r="N49" s="61">
        <f t="shared" si="61"/>
        <v>-100780167.310625</v>
      </c>
      <c r="O49" s="61">
        <f t="shared" si="61"/>
        <v>-109942000.7025</v>
      </c>
      <c r="P49" s="62">
        <f>P45-P47</f>
        <v>-109942000.7025</v>
      </c>
      <c r="Q49" s="54">
        <f t="shared" ref="Q49:T49" si="62">Q45-Q47</f>
        <v>-195991667.160375</v>
      </c>
      <c r="R49" s="54">
        <f t="shared" si="62"/>
        <v>-254963408.14393127</v>
      </c>
      <c r="S49" s="54">
        <f t="shared" si="62"/>
        <v>-276507470.10468096</v>
      </c>
      <c r="T49" s="54">
        <f t="shared" si="62"/>
        <v>-244443216.85417795</v>
      </c>
      <c r="U49" s="39"/>
    </row>
    <row r="50" spans="2:21" ht="16.5" hidden="1" outlineLevel="1" thickBot="1" x14ac:dyDescent="0.4">
      <c r="B50" s="45"/>
      <c r="C50" s="53"/>
      <c r="D50" s="46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4"/>
      <c r="Q50" s="54"/>
      <c r="R50" s="54"/>
      <c r="S50" s="54"/>
      <c r="T50" s="54"/>
      <c r="U50" s="39"/>
    </row>
    <row r="51" spans="2:21" ht="16.5" hidden="1" collapsed="1" thickBot="1" x14ac:dyDescent="0.4">
      <c r="B51" s="45" t="s">
        <v>43</v>
      </c>
      <c r="C51" s="53"/>
      <c r="D51" s="46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46" t="str">
        <f>IF(P49&gt;0,"1 Year"," ")</f>
        <v xml:space="preserve"> </v>
      </c>
      <c r="Q51" s="46" t="str">
        <f>IF(Q49&gt;0,"2 Year"," ")</f>
        <v xml:space="preserve"> </v>
      </c>
      <c r="R51" s="46" t="str">
        <f>IF(R49&gt;0,"3 Year"," ")</f>
        <v xml:space="preserve"> </v>
      </c>
      <c r="S51" s="46" t="str">
        <f>IF(S49&gt;0,"4 Year"," ")</f>
        <v xml:space="preserve"> </v>
      </c>
      <c r="T51" s="46" t="str">
        <f>IF(T49&gt;0,"5 Year"," ")</f>
        <v xml:space="preserve"> </v>
      </c>
    </row>
    <row r="52" spans="2:21" x14ac:dyDescent="0.35"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58"/>
    </row>
    <row r="53" spans="2:21" x14ac:dyDescent="0.35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8"/>
    </row>
    <row r="54" spans="2:21" x14ac:dyDescent="0.35"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8"/>
    </row>
  </sheetData>
  <pageMargins left="0.7" right="0.7" top="0.7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666-4F0B-46A6-B746-FB8CA91C04D5}">
  <sheetPr>
    <outlinePr summaryRight="0"/>
  </sheetPr>
  <dimension ref="A2:Y44"/>
  <sheetViews>
    <sheetView showGridLines="0" view="pageBreakPreview" zoomScaleNormal="100" zoomScaleSheetLayoutView="100" workbookViewId="0">
      <pane xSplit="3" ySplit="4" topLeftCell="L9" activePane="bottomRight" state="frozen"/>
      <selection pane="topRight" activeCell="D1" sqref="D1"/>
      <selection pane="bottomLeft" activeCell="A5" sqref="A5"/>
      <selection pane="bottomRight" activeCell="Q21" sqref="Q21"/>
    </sheetView>
  </sheetViews>
  <sheetFormatPr defaultColWidth="9.1796875" defaultRowHeight="12" outlineLevelCol="1" x14ac:dyDescent="0.35"/>
  <cols>
    <col min="1" max="1" width="1.453125" style="1" customWidth="1"/>
    <col min="2" max="2" width="28.81640625" style="20" bestFit="1" customWidth="1"/>
    <col min="3" max="3" width="2.453125" style="1" customWidth="1"/>
    <col min="4" max="7" width="15.81640625" style="1" customWidth="1" outlineLevel="1"/>
    <col min="8" max="15" width="17.36328125" style="1" customWidth="1" outlineLevel="1"/>
    <col min="16" max="16" width="17.1796875" style="2" bestFit="1" customWidth="1"/>
    <col min="17" max="17" width="21.453125" style="3" customWidth="1"/>
    <col min="18" max="18" width="22" style="3" customWidth="1"/>
    <col min="19" max="19" width="21" style="3" customWidth="1"/>
    <col min="20" max="20" width="21.81640625" style="3" customWidth="1"/>
    <col min="21" max="21" width="21.81640625" style="1" customWidth="1"/>
    <col min="22" max="16384" width="9.1796875" style="1"/>
  </cols>
  <sheetData>
    <row r="2" spans="1:25" ht="17.5" thickBot="1" x14ac:dyDescent="0.4">
      <c r="A2" s="28" t="s">
        <v>52</v>
      </c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24"/>
      <c r="S2" s="24"/>
      <c r="T2" s="24"/>
      <c r="U2" s="5"/>
    </row>
    <row r="3" spans="1:25" s="2" customFormat="1" ht="18" thickTop="1" thickBot="1" x14ac:dyDescent="0.4">
      <c r="A3" s="26"/>
      <c r="B3" s="25"/>
      <c r="C3" s="26"/>
      <c r="D3" s="27" t="s">
        <v>11</v>
      </c>
      <c r="E3" s="27" t="s">
        <v>12</v>
      </c>
      <c r="F3" s="27" t="s">
        <v>13</v>
      </c>
      <c r="G3" s="27" t="s">
        <v>14</v>
      </c>
      <c r="H3" s="27" t="s">
        <v>0</v>
      </c>
      <c r="I3" s="27" t="s">
        <v>15</v>
      </c>
      <c r="J3" s="27" t="s">
        <v>16</v>
      </c>
      <c r="K3" s="27" t="s">
        <v>17</v>
      </c>
      <c r="L3" s="27" t="s">
        <v>18</v>
      </c>
      <c r="M3" s="27" t="s">
        <v>19</v>
      </c>
      <c r="N3" s="27" t="s">
        <v>20</v>
      </c>
      <c r="O3" s="27" t="s">
        <v>21</v>
      </c>
      <c r="P3" s="26" t="s">
        <v>45</v>
      </c>
      <c r="Q3" s="26" t="s">
        <v>47</v>
      </c>
      <c r="R3" s="26" t="s">
        <v>48</v>
      </c>
      <c r="S3" s="26" t="s">
        <v>49</v>
      </c>
      <c r="T3" s="26" t="s">
        <v>50</v>
      </c>
      <c r="U3" s="5"/>
      <c r="V3" s="1"/>
      <c r="W3" s="1"/>
      <c r="X3" s="1"/>
      <c r="Y3" s="1"/>
    </row>
    <row r="4" spans="1:25" ht="18" thickTop="1" thickBot="1" x14ac:dyDescent="0.4">
      <c r="A4" s="26"/>
      <c r="B4" s="25"/>
      <c r="C4" s="26"/>
      <c r="D4" s="26" t="s">
        <v>1</v>
      </c>
      <c r="E4" s="26" t="s">
        <v>1</v>
      </c>
      <c r="F4" s="26" t="s">
        <v>1</v>
      </c>
      <c r="G4" s="26" t="s">
        <v>1</v>
      </c>
      <c r="H4" s="26" t="s">
        <v>1</v>
      </c>
      <c r="I4" s="26" t="s">
        <v>1</v>
      </c>
      <c r="J4" s="26" t="s">
        <v>1</v>
      </c>
      <c r="K4" s="26" t="s">
        <v>1</v>
      </c>
      <c r="L4" s="26" t="s">
        <v>1</v>
      </c>
      <c r="M4" s="26" t="s">
        <v>1</v>
      </c>
      <c r="N4" s="26" t="s">
        <v>1</v>
      </c>
      <c r="O4" s="26" t="s">
        <v>1</v>
      </c>
      <c r="P4" s="26" t="s">
        <v>1</v>
      </c>
      <c r="Q4" s="26" t="s">
        <v>1</v>
      </c>
      <c r="R4" s="26" t="s">
        <v>1</v>
      </c>
      <c r="S4" s="26" t="s">
        <v>1</v>
      </c>
      <c r="T4" s="26" t="s">
        <v>1</v>
      </c>
      <c r="U4" s="5"/>
    </row>
    <row r="5" spans="1:25" ht="18" customHeight="1" thickTop="1" thickBot="1" x14ac:dyDescent="0.4">
      <c r="B5" s="1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5"/>
    </row>
    <row r="6" spans="1:25" ht="18" customHeight="1" x14ac:dyDescent="0.35">
      <c r="B6" s="17" t="str">
        <f>'Assumption-(MedFit)'!B5</f>
        <v>Wellness Packages</v>
      </c>
      <c r="C6" s="9"/>
      <c r="D6" s="10">
        <f>'Assumption-(MedFit)'!D5</f>
        <v>0</v>
      </c>
      <c r="E6" s="10">
        <f>'Assumption-(MedFit)'!E5</f>
        <v>0</v>
      </c>
      <c r="F6" s="10">
        <f>'Assumption-(MedFit)'!F5</f>
        <v>0</v>
      </c>
      <c r="G6" s="10">
        <f>'Assumption-(MedFit)'!G5</f>
        <v>0</v>
      </c>
      <c r="H6" s="10">
        <f>'Assumption-(MedFit)'!H5</f>
        <v>0</v>
      </c>
      <c r="I6" s="10">
        <f>'Assumption-(MedFit)'!I5</f>
        <v>0</v>
      </c>
      <c r="J6" s="10">
        <f>'Assumption-(MedFit)'!J5</f>
        <v>0</v>
      </c>
      <c r="K6" s="10">
        <f>'Assumption-(MedFit)'!K5</f>
        <v>0</v>
      </c>
      <c r="L6" s="10">
        <f>'Assumption-(MedFit)'!L5</f>
        <v>0</v>
      </c>
      <c r="M6" s="10">
        <f>'Assumption-(MedFit)'!M5</f>
        <v>0</v>
      </c>
      <c r="N6" s="10">
        <f>'Assumption-(MedFit)'!N5</f>
        <v>0</v>
      </c>
      <c r="O6" s="10">
        <f>'Assumption-(MedFit)'!O5</f>
        <v>0</v>
      </c>
      <c r="P6" s="11">
        <f>SUM(D6:O6)</f>
        <v>0</v>
      </c>
      <c r="Q6" s="12">
        <f>P6*(1+'Assumption-(MedFit)'!E$73)*(1+'Assumption-(MedFit)'!E$76)</f>
        <v>0</v>
      </c>
      <c r="R6" s="12">
        <f>Q6*(1+'Assumption-(MedFit)'!F$73)*(1+'Assumption-(MedFit)'!F$76)</f>
        <v>0</v>
      </c>
      <c r="S6" s="12">
        <f>R6*(1+'Assumption-(MedFit)'!G$73)*(1+'Assumption-(MedFit)'!G$76)</f>
        <v>0</v>
      </c>
      <c r="T6" s="12">
        <f>S6*(1+'Assumption-(MedFit)'!H$73)*(1+'Assumption-(MedFit)'!H$76)</f>
        <v>0</v>
      </c>
      <c r="U6" s="5"/>
    </row>
    <row r="7" spans="1:25" ht="22" customHeight="1" x14ac:dyDescent="0.35">
      <c r="B7" s="17" t="str">
        <f>'Assumption-(MedFit)'!B13</f>
        <v>Occupational health- Project</v>
      </c>
      <c r="C7" s="9"/>
      <c r="D7" s="10">
        <f>'Assumption-(MedFit)'!D13</f>
        <v>6224208.333333333</v>
      </c>
      <c r="E7" s="10">
        <f>'Assumption-(MedFit)'!E13</f>
        <v>6224208.333333333</v>
      </c>
      <c r="F7" s="10">
        <f>'Assumption-(MedFit)'!F13</f>
        <v>6224208.333333333</v>
      </c>
      <c r="G7" s="10">
        <f>'Assumption-(MedFit)'!G13</f>
        <v>6224208.333333333</v>
      </c>
      <c r="H7" s="10">
        <f>'Assumption-(MedFit)'!H13</f>
        <v>6224208.333333333</v>
      </c>
      <c r="I7" s="10">
        <f>'Assumption-(MedFit)'!I13</f>
        <v>6224208.333333333</v>
      </c>
      <c r="J7" s="10">
        <f>'Assumption-(MedFit)'!J13</f>
        <v>6224208.333333333</v>
      </c>
      <c r="K7" s="10">
        <f>'Assumption-(MedFit)'!K13</f>
        <v>6224208.333333333</v>
      </c>
      <c r="L7" s="10">
        <f>'Assumption-(MedFit)'!L13</f>
        <v>6224208.333333333</v>
      </c>
      <c r="M7" s="10">
        <f>'Assumption-(MedFit)'!M13</f>
        <v>6224208.333333333</v>
      </c>
      <c r="N7" s="10">
        <f>'Assumption-(MedFit)'!N13</f>
        <v>6224208.333333333</v>
      </c>
      <c r="O7" s="10">
        <f>'Assumption-(MedFit)'!O13</f>
        <v>6224208.333333333</v>
      </c>
      <c r="P7" s="11">
        <f>SUM(D7:O7)</f>
        <v>74690500</v>
      </c>
      <c r="Q7" s="12">
        <f>P7*(1+'Assumption-(MedFit)'!E$73)*(1+'Assumption-(MedFit)'!E$76)</f>
        <v>103072890</v>
      </c>
      <c r="R7" s="12">
        <f>Q7*(1+'Assumption-(MedFit)'!F$73)*(1+'Assumption-(MedFit)'!F$76)</f>
        <v>142240588.19999999</v>
      </c>
      <c r="S7" s="12">
        <f>R7*(1+'Assumption-(MedFit)'!G$73)*(1+'Assumption-(MedFit)'!G$76)</f>
        <v>196292011.71599996</v>
      </c>
      <c r="T7" s="12">
        <f>S7*(1+'Assumption-(MedFit)'!H$73)*(1+'Assumption-(MedFit)'!H$76)</f>
        <v>270882976.16807991</v>
      </c>
      <c r="U7" s="5"/>
    </row>
    <row r="8" spans="1:25" ht="13" thickBot="1" x14ac:dyDescent="0.4">
      <c r="B8" s="16"/>
      <c r="C8" s="16"/>
      <c r="D8" s="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9"/>
      <c r="Q8" s="29"/>
      <c r="R8" s="29"/>
      <c r="S8" s="29"/>
      <c r="T8" s="29"/>
      <c r="U8" s="5"/>
    </row>
    <row r="9" spans="1:25" s="2" customFormat="1" ht="13" thickBot="1" x14ac:dyDescent="0.4">
      <c r="B9" s="16" t="s">
        <v>3</v>
      </c>
      <c r="C9" s="16"/>
      <c r="D9" s="8">
        <f>SUM(D6:D7)</f>
        <v>6224208.333333333</v>
      </c>
      <c r="E9" s="30">
        <f t="shared" ref="E9:T9" si="0">SUM(E6:E7)</f>
        <v>6224208.333333333</v>
      </c>
      <c r="F9" s="30">
        <f t="shared" si="0"/>
        <v>6224208.333333333</v>
      </c>
      <c r="G9" s="30">
        <f t="shared" si="0"/>
        <v>6224208.333333333</v>
      </c>
      <c r="H9" s="30">
        <f t="shared" si="0"/>
        <v>6224208.333333333</v>
      </c>
      <c r="I9" s="30">
        <f t="shared" si="0"/>
        <v>6224208.333333333</v>
      </c>
      <c r="J9" s="30">
        <f t="shared" si="0"/>
        <v>6224208.333333333</v>
      </c>
      <c r="K9" s="30">
        <f t="shared" si="0"/>
        <v>6224208.333333333</v>
      </c>
      <c r="L9" s="30">
        <f t="shared" si="0"/>
        <v>6224208.333333333</v>
      </c>
      <c r="M9" s="30">
        <f t="shared" si="0"/>
        <v>6224208.333333333</v>
      </c>
      <c r="N9" s="30">
        <f t="shared" si="0"/>
        <v>6224208.333333333</v>
      </c>
      <c r="O9" s="30">
        <f t="shared" si="0"/>
        <v>6224208.333333333</v>
      </c>
      <c r="P9" s="30">
        <f t="shared" si="0"/>
        <v>74690500</v>
      </c>
      <c r="Q9" s="30">
        <f>SUM(Q6:Q7)</f>
        <v>103072890</v>
      </c>
      <c r="R9" s="30">
        <f t="shared" si="0"/>
        <v>142240588.19999999</v>
      </c>
      <c r="S9" s="30">
        <f t="shared" si="0"/>
        <v>196292011.71599996</v>
      </c>
      <c r="T9" s="30">
        <f t="shared" si="0"/>
        <v>270882976.16807991</v>
      </c>
      <c r="U9" s="5"/>
      <c r="V9" s="1"/>
      <c r="W9" s="1"/>
      <c r="X9" s="1"/>
      <c r="Y9" s="1"/>
    </row>
    <row r="10" spans="1:25" ht="9" customHeight="1" x14ac:dyDescent="0.35">
      <c r="B10" s="17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2"/>
      <c r="R10" s="12"/>
      <c r="S10" s="12"/>
      <c r="T10" s="12"/>
      <c r="U10" s="5"/>
    </row>
    <row r="11" spans="1:25" ht="13" thickBot="1" x14ac:dyDescent="0.4">
      <c r="B11" s="16" t="s">
        <v>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3"/>
      <c r="Q11" s="13"/>
      <c r="R11" s="13"/>
      <c r="S11" s="13"/>
      <c r="T11" s="13"/>
      <c r="U11" s="5"/>
    </row>
    <row r="12" spans="1:25" ht="12.5" x14ac:dyDescent="0.35">
      <c r="B12" s="17" t="s">
        <v>32</v>
      </c>
      <c r="C12" s="9"/>
      <c r="D12" s="10">
        <f>'Assumption-(MedFit)'!$C77*D$9</f>
        <v>1867262.4999999998</v>
      </c>
      <c r="E12" s="10">
        <f>'Assumption-(MedFit)'!$C77*E$9</f>
        <v>1867262.4999999998</v>
      </c>
      <c r="F12" s="10">
        <f>'Assumption-(MedFit)'!$C77*F$9</f>
        <v>1867262.4999999998</v>
      </c>
      <c r="G12" s="10">
        <f>'Assumption-(MedFit)'!$C77*G$9</f>
        <v>1867262.4999999998</v>
      </c>
      <c r="H12" s="10">
        <f>'Assumption-(MedFit)'!$C77*H$9</f>
        <v>1867262.4999999998</v>
      </c>
      <c r="I12" s="10">
        <f>'Assumption-(MedFit)'!$C77*I$9</f>
        <v>1867262.4999999998</v>
      </c>
      <c r="J12" s="10">
        <f>'Assumption-(MedFit)'!$C77*J$9</f>
        <v>1867262.4999999998</v>
      </c>
      <c r="K12" s="10">
        <f>'Assumption-(MedFit)'!$C77*K$9</f>
        <v>1867262.4999999998</v>
      </c>
      <c r="L12" s="10">
        <f>'Assumption-(MedFit)'!$C77*L$9</f>
        <v>1867262.4999999998</v>
      </c>
      <c r="M12" s="10">
        <f>'Assumption-(MedFit)'!$C77*M$9</f>
        <v>1867262.4999999998</v>
      </c>
      <c r="N12" s="10">
        <f>'Assumption-(MedFit)'!$C77*N$9</f>
        <v>1867262.4999999998</v>
      </c>
      <c r="O12" s="10">
        <f>'Assumption-(MedFit)'!$C77*O$9</f>
        <v>1867262.4999999998</v>
      </c>
      <c r="P12" s="11">
        <f>SUM(D12:O12)</f>
        <v>22407149.999999996</v>
      </c>
      <c r="Q12" s="12">
        <f>P$9*(1+'Assumption-(MedFit)'!E$77)*'Assumption-(MedFit)'!$C$77</f>
        <v>24647865</v>
      </c>
      <c r="R12" s="12">
        <f>Q$9*(1+'Assumption-(MedFit)'!F$77)*'Assumption-(MedFit)'!$C$77</f>
        <v>33395616.359999999</v>
      </c>
      <c r="S12" s="12">
        <f>R$9*(1+'Assumption-(MedFit)'!G$77)*'Assumption-(MedFit)'!$C$77</f>
        <v>46085950.576799996</v>
      </c>
      <c r="T12" s="12">
        <f>S$9*(1+'Assumption-(MedFit)'!H$77)*'Assumption-(MedFit)'!$C$77</f>
        <v>62420859.725687988</v>
      </c>
      <c r="U12" s="5"/>
    </row>
    <row r="13" spans="1:25" ht="12.5" x14ac:dyDescent="0.35">
      <c r="B13" s="17" t="s">
        <v>33</v>
      </c>
      <c r="C13" s="9"/>
      <c r="D13" s="10">
        <f>'Assumption-(MedFit)'!$C80*D$9</f>
        <v>0</v>
      </c>
      <c r="E13" s="10">
        <f>'Assumption-(MedFit)'!$C80*E$9</f>
        <v>0</v>
      </c>
      <c r="F13" s="10">
        <f>'Assumption-(MedFit)'!$C80*F$9</f>
        <v>0</v>
      </c>
      <c r="G13" s="10">
        <f>'Assumption-(MedFit)'!$C80*G$9</f>
        <v>0</v>
      </c>
      <c r="H13" s="10">
        <f>'Assumption-(MedFit)'!$C80*H$9</f>
        <v>0</v>
      </c>
      <c r="I13" s="10">
        <f>'Assumption-(MedFit)'!$C80*I$9</f>
        <v>0</v>
      </c>
      <c r="J13" s="10">
        <f>'Assumption-(MedFit)'!$C80*J$9</f>
        <v>0</v>
      </c>
      <c r="K13" s="10">
        <f>'Assumption-(MedFit)'!$C80*K$9</f>
        <v>0</v>
      </c>
      <c r="L13" s="10">
        <f>'Assumption-(MedFit)'!$C80*L$9</f>
        <v>0</v>
      </c>
      <c r="M13" s="10">
        <f>'Assumption-(MedFit)'!$C80*M$9</f>
        <v>0</v>
      </c>
      <c r="N13" s="10">
        <f>'Assumption-(MedFit)'!$C80*N$9</f>
        <v>0</v>
      </c>
      <c r="O13" s="10">
        <f>'Assumption-(MedFit)'!$C80*O$9</f>
        <v>0</v>
      </c>
      <c r="P13" s="11">
        <f t="shared" ref="P13" si="1">SUM(D13:O13)</f>
        <v>0</v>
      </c>
      <c r="Q13" s="12">
        <f>P$9*(1+'Assumption-(MedFit)'!$E80)*'Assumption-(MedFit)'!$C$80</f>
        <v>0</v>
      </c>
      <c r="R13" s="12">
        <f>Q$9*(1+'Assumption-(MedFit)'!$E80)*'Assumption-(MedFit)'!$C$80</f>
        <v>0</v>
      </c>
      <c r="S13" s="12">
        <f>R$9*(1+'Assumption-(MedFit)'!$E80)*'Assumption-(MedFit)'!$C$80</f>
        <v>0</v>
      </c>
      <c r="T13" s="12">
        <f>S$9*(1+'Assumption-(MedFit)'!$E80)*'Assumption-(MedFit)'!$C$80</f>
        <v>0</v>
      </c>
      <c r="U13" s="5"/>
    </row>
    <row r="14" spans="1:25" ht="4.5" customHeight="1" thickBot="1" x14ac:dyDescent="0.4">
      <c r="B14" s="16"/>
      <c r="C14" s="16"/>
      <c r="D14" s="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5" s="2" customFormat="1" ht="15" customHeight="1" thickBot="1" x14ac:dyDescent="0.4">
      <c r="B15" s="16" t="s">
        <v>44</v>
      </c>
      <c r="C15" s="16"/>
      <c r="D15" s="31">
        <f t="shared" ref="D15:T15" si="2">SUM(D12:D13)</f>
        <v>1867262.4999999998</v>
      </c>
      <c r="E15" s="31">
        <f t="shared" si="2"/>
        <v>1867262.4999999998</v>
      </c>
      <c r="F15" s="31">
        <f t="shared" si="2"/>
        <v>1867262.4999999998</v>
      </c>
      <c r="G15" s="31">
        <f t="shared" si="2"/>
        <v>1867262.4999999998</v>
      </c>
      <c r="H15" s="31">
        <f t="shared" si="2"/>
        <v>1867262.4999999998</v>
      </c>
      <c r="I15" s="31">
        <f t="shared" si="2"/>
        <v>1867262.4999999998</v>
      </c>
      <c r="J15" s="31">
        <f t="shared" si="2"/>
        <v>1867262.4999999998</v>
      </c>
      <c r="K15" s="31">
        <f t="shared" si="2"/>
        <v>1867262.4999999998</v>
      </c>
      <c r="L15" s="31">
        <f t="shared" si="2"/>
        <v>1867262.4999999998</v>
      </c>
      <c r="M15" s="31">
        <f t="shared" si="2"/>
        <v>1867262.4999999998</v>
      </c>
      <c r="N15" s="31">
        <f t="shared" si="2"/>
        <v>1867262.4999999998</v>
      </c>
      <c r="O15" s="31">
        <f t="shared" si="2"/>
        <v>1867262.4999999998</v>
      </c>
      <c r="P15" s="29">
        <f t="shared" si="2"/>
        <v>22407149.999999996</v>
      </c>
      <c r="Q15" s="29">
        <f t="shared" si="2"/>
        <v>24647865</v>
      </c>
      <c r="R15" s="29">
        <f t="shared" si="2"/>
        <v>33395616.359999999</v>
      </c>
      <c r="S15" s="29">
        <f t="shared" si="2"/>
        <v>46085950.576799996</v>
      </c>
      <c r="T15" s="29">
        <f t="shared" si="2"/>
        <v>62420859.725687988</v>
      </c>
      <c r="U15" s="5"/>
      <c r="V15" s="1"/>
      <c r="W15" s="1"/>
      <c r="X15" s="1"/>
      <c r="Y15" s="1"/>
    </row>
    <row r="16" spans="1:25" ht="7.5" customHeight="1" x14ac:dyDescent="0.35">
      <c r="B16" s="17"/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1"/>
      <c r="Q16" s="12"/>
      <c r="R16" s="12"/>
      <c r="S16" s="12"/>
      <c r="T16" s="12"/>
      <c r="U16" s="5"/>
    </row>
    <row r="17" spans="2:21" ht="13" thickBot="1" x14ac:dyDescent="0.4">
      <c r="B17" s="16" t="s">
        <v>10</v>
      </c>
      <c r="C17" s="6"/>
      <c r="D17" s="31">
        <f t="shared" ref="D17:T17" si="3">D9-D15</f>
        <v>4356945.833333333</v>
      </c>
      <c r="E17" s="31">
        <f t="shared" si="3"/>
        <v>4356945.833333333</v>
      </c>
      <c r="F17" s="31">
        <f t="shared" si="3"/>
        <v>4356945.833333333</v>
      </c>
      <c r="G17" s="31">
        <f t="shared" si="3"/>
        <v>4356945.833333333</v>
      </c>
      <c r="H17" s="31">
        <f t="shared" si="3"/>
        <v>4356945.833333333</v>
      </c>
      <c r="I17" s="31">
        <f t="shared" si="3"/>
        <v>4356945.833333333</v>
      </c>
      <c r="J17" s="31">
        <f t="shared" si="3"/>
        <v>4356945.833333333</v>
      </c>
      <c r="K17" s="31">
        <f t="shared" si="3"/>
        <v>4356945.833333333</v>
      </c>
      <c r="L17" s="31">
        <f t="shared" si="3"/>
        <v>4356945.833333333</v>
      </c>
      <c r="M17" s="31">
        <f t="shared" si="3"/>
        <v>4356945.833333333</v>
      </c>
      <c r="N17" s="31">
        <f t="shared" si="3"/>
        <v>4356945.833333333</v>
      </c>
      <c r="O17" s="31">
        <f t="shared" si="3"/>
        <v>4356945.833333333</v>
      </c>
      <c r="P17" s="15">
        <f t="shared" si="3"/>
        <v>52283350</v>
      </c>
      <c r="Q17" s="15">
        <f t="shared" si="3"/>
        <v>78425025</v>
      </c>
      <c r="R17" s="15">
        <f t="shared" si="3"/>
        <v>108844971.83999999</v>
      </c>
      <c r="S17" s="15">
        <f t="shared" si="3"/>
        <v>150206061.13919997</v>
      </c>
      <c r="T17" s="15">
        <f t="shared" si="3"/>
        <v>208462116.44239193</v>
      </c>
      <c r="U17" s="5"/>
    </row>
    <row r="18" spans="2:21" ht="12.5" x14ac:dyDescent="0.35">
      <c r="B18" s="17"/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1"/>
      <c r="Q18" s="12"/>
      <c r="R18" s="12"/>
      <c r="S18" s="12"/>
      <c r="T18" s="12"/>
      <c r="U18" s="5"/>
    </row>
    <row r="19" spans="2:21" ht="13" thickBot="1" x14ac:dyDescent="0.4">
      <c r="B19" s="16" t="s">
        <v>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5"/>
    </row>
    <row r="20" spans="2:21" ht="12.5" x14ac:dyDescent="0.25">
      <c r="B20" s="18" t="s">
        <v>31</v>
      </c>
      <c r="C20" s="9"/>
      <c r="D20" s="14">
        <f>'Assumption-(MedFit)'!$D$84/12</f>
        <v>0</v>
      </c>
      <c r="E20" s="14">
        <f>'Assumption-(MedFit)'!$D$84/12</f>
        <v>0</v>
      </c>
      <c r="F20" s="14">
        <f>'Assumption-(MedFit)'!$D$84/12</f>
        <v>0</v>
      </c>
      <c r="G20" s="14">
        <f>'Assumption-(MedFit)'!$D$84/12</f>
        <v>0</v>
      </c>
      <c r="H20" s="14">
        <f>'Assumption-(MedFit)'!$D$84/12</f>
        <v>0</v>
      </c>
      <c r="I20" s="14">
        <f>'Assumption-(MedFit)'!$D$84/12</f>
        <v>0</v>
      </c>
      <c r="J20" s="14">
        <f>'Assumption-(MedFit)'!$D$84/12</f>
        <v>0</v>
      </c>
      <c r="K20" s="14">
        <f>'Assumption-(MedFit)'!$D$84/12</f>
        <v>0</v>
      </c>
      <c r="L20" s="14">
        <f>'Assumption-(MedFit)'!$D$84/12</f>
        <v>0</v>
      </c>
      <c r="M20" s="14">
        <f>'Assumption-(MedFit)'!$D$84/12</f>
        <v>0</v>
      </c>
      <c r="N20" s="14">
        <f>'Assumption-(MedFit)'!$D$84/12</f>
        <v>0</v>
      </c>
      <c r="O20" s="14">
        <f>'Assumption-(MedFit)'!$D$84/12</f>
        <v>0</v>
      </c>
      <c r="P20" s="11">
        <f>SUM(D20:O20)</f>
        <v>0</v>
      </c>
      <c r="Q20" s="12">
        <f>P20*(1+'Assumption-(MedFit)'!E$84)</f>
        <v>0</v>
      </c>
      <c r="R20" s="12">
        <f>Q20*(1+'Assumption-(MedFit)'!F$84)</f>
        <v>0</v>
      </c>
      <c r="S20" s="12">
        <f>R20*(1+'Assumption-(MedFit)'!G$84)</f>
        <v>0</v>
      </c>
      <c r="T20" s="12">
        <f>S20*(1+'Assumption-(MedFit)'!H$84)</f>
        <v>0</v>
      </c>
      <c r="U20" s="5"/>
    </row>
    <row r="21" spans="2:21" ht="12.5" x14ac:dyDescent="0.25">
      <c r="B21" s="18" t="s">
        <v>30</v>
      </c>
      <c r="C21" s="9"/>
      <c r="D21" s="14">
        <f>'Computations-Outputs'!$D$9*'Assumption-(MedFit)'!$C$85</f>
        <v>62242.083333333328</v>
      </c>
      <c r="E21" s="14">
        <f>'Computations-Outputs'!$D$9*'Assumption-(MedFit)'!$C$85</f>
        <v>62242.083333333328</v>
      </c>
      <c r="F21" s="14">
        <f>'Computations-Outputs'!$D$9*'Assumption-(MedFit)'!$C$85</f>
        <v>62242.083333333328</v>
      </c>
      <c r="G21" s="14">
        <f>'Computations-Outputs'!$D$9*'Assumption-(MedFit)'!$C$85</f>
        <v>62242.083333333328</v>
      </c>
      <c r="H21" s="14">
        <f>'Computations-Outputs'!$D$9*'Assumption-(MedFit)'!$C$85</f>
        <v>62242.083333333328</v>
      </c>
      <c r="I21" s="14">
        <f>'Computations-Outputs'!$D$9*'Assumption-(MedFit)'!$C$85</f>
        <v>62242.083333333328</v>
      </c>
      <c r="J21" s="14">
        <f>'Computations-Outputs'!$D$9*'Assumption-(MedFit)'!$C$85</f>
        <v>62242.083333333328</v>
      </c>
      <c r="K21" s="14">
        <f>'Computations-Outputs'!$D$9*'Assumption-(MedFit)'!$C$85</f>
        <v>62242.083333333328</v>
      </c>
      <c r="L21" s="14">
        <f>'Computations-Outputs'!$D$9*'Assumption-(MedFit)'!$C$85</f>
        <v>62242.083333333328</v>
      </c>
      <c r="M21" s="14">
        <f>'Computations-Outputs'!$D$9*'Assumption-(MedFit)'!$C$85</f>
        <v>62242.083333333328</v>
      </c>
      <c r="N21" s="14">
        <f>'Computations-Outputs'!$D$9*'Assumption-(MedFit)'!$C$85</f>
        <v>62242.083333333328</v>
      </c>
      <c r="O21" s="14">
        <f>'Computations-Outputs'!$D$9*'Assumption-(MedFit)'!$C$85</f>
        <v>62242.083333333328</v>
      </c>
      <c r="P21" s="11">
        <f t="shared" ref="P21:P29" si="4">SUM(D21:O21)</f>
        <v>746905</v>
      </c>
      <c r="Q21" s="12">
        <f>P21*(1+'Assumption-(MedFit)'!E$74)</f>
        <v>858940.74999999988</v>
      </c>
      <c r="R21" s="12">
        <f>Q21*(1+'Assumption-(MedFit)'!F$74)</f>
        <v>987781.86249999981</v>
      </c>
      <c r="S21" s="12">
        <f>R21*(1+'Assumption-(MedFit)'!G$74)</f>
        <v>1135949.1418749997</v>
      </c>
      <c r="T21" s="12">
        <f>S21*(1+'Assumption-(MedFit)'!H$74)</f>
        <v>1306341.5131562497</v>
      </c>
      <c r="U21" s="5"/>
    </row>
    <row r="22" spans="2:21" ht="12.5" x14ac:dyDescent="0.25">
      <c r="B22" s="18" t="s">
        <v>29</v>
      </c>
      <c r="C22" s="9"/>
      <c r="D22" s="14">
        <f>'Assumption-(MedFit)'!$C$86*'Computations-Outputs'!$D$9</f>
        <v>3112.1041666666665</v>
      </c>
      <c r="E22" s="14">
        <f>'Assumption-(MedFit)'!$C$86*'Computations-Outputs'!$D$9</f>
        <v>3112.1041666666665</v>
      </c>
      <c r="F22" s="14">
        <f>'Assumption-(MedFit)'!$C$86*'Computations-Outputs'!$D$9</f>
        <v>3112.1041666666665</v>
      </c>
      <c r="G22" s="14">
        <f>'Assumption-(MedFit)'!$C$86*'Computations-Outputs'!$D$9</f>
        <v>3112.1041666666665</v>
      </c>
      <c r="H22" s="14">
        <f>'Assumption-(MedFit)'!$C$86*'Computations-Outputs'!$D$9</f>
        <v>3112.1041666666665</v>
      </c>
      <c r="I22" s="14">
        <f>'Assumption-(MedFit)'!$C$86*'Computations-Outputs'!$D$9</f>
        <v>3112.1041666666665</v>
      </c>
      <c r="J22" s="14">
        <f>'Assumption-(MedFit)'!$C$86*'Computations-Outputs'!$D$9</f>
        <v>3112.1041666666665</v>
      </c>
      <c r="K22" s="14">
        <f>'Assumption-(MedFit)'!$C$86*'Computations-Outputs'!$D$9</f>
        <v>3112.1041666666665</v>
      </c>
      <c r="L22" s="14">
        <f>'Assumption-(MedFit)'!$C$86*'Computations-Outputs'!$D$9</f>
        <v>3112.1041666666665</v>
      </c>
      <c r="M22" s="14">
        <f>'Assumption-(MedFit)'!$C$86*'Computations-Outputs'!$D$9</f>
        <v>3112.1041666666665</v>
      </c>
      <c r="N22" s="14">
        <f>'Assumption-(MedFit)'!$C$86*'Computations-Outputs'!$D$9</f>
        <v>3112.1041666666665</v>
      </c>
      <c r="O22" s="14">
        <f>'Assumption-(MedFit)'!$C$86*'Computations-Outputs'!$D$9</f>
        <v>3112.1041666666665</v>
      </c>
      <c r="P22" s="11">
        <f t="shared" si="4"/>
        <v>37345.25</v>
      </c>
      <c r="Q22" s="12">
        <f>P22*(1+'Assumption-(MedFit)'!E$74)</f>
        <v>42947.037499999999</v>
      </c>
      <c r="R22" s="12">
        <f>Q22*(1+'Assumption-(MedFit)'!F$74)</f>
        <v>49389.093124999992</v>
      </c>
      <c r="S22" s="12">
        <f>R22*(1+'Assumption-(MedFit)'!G$74)</f>
        <v>56797.457093749988</v>
      </c>
      <c r="T22" s="12">
        <f>S22*(1+'Assumption-(MedFit)'!H$74)</f>
        <v>65317.075657812478</v>
      </c>
      <c r="U22" s="5"/>
    </row>
    <row r="23" spans="2:21" ht="12.5" x14ac:dyDescent="0.25">
      <c r="B23" s="18" t="s">
        <v>28</v>
      </c>
      <c r="C23" s="9"/>
      <c r="D23" s="14">
        <f>'Assumption-(MedFit)'!$D$87/12</f>
        <v>41666.666666666664</v>
      </c>
      <c r="E23" s="14">
        <f>'Assumption-(MedFit)'!$D$87/12</f>
        <v>41666.666666666664</v>
      </c>
      <c r="F23" s="14">
        <f>'Assumption-(MedFit)'!$D$87/12</f>
        <v>41666.666666666664</v>
      </c>
      <c r="G23" s="14">
        <f>'Assumption-(MedFit)'!$D$87/12</f>
        <v>41666.666666666664</v>
      </c>
      <c r="H23" s="14">
        <f>'Assumption-(MedFit)'!$D$87/12</f>
        <v>41666.666666666664</v>
      </c>
      <c r="I23" s="14">
        <f>'Assumption-(MedFit)'!$D$87/12</f>
        <v>41666.666666666664</v>
      </c>
      <c r="J23" s="14">
        <f>'Assumption-(MedFit)'!$D$87/12</f>
        <v>41666.666666666664</v>
      </c>
      <c r="K23" s="14">
        <f>'Assumption-(MedFit)'!$D$87/12</f>
        <v>41666.666666666664</v>
      </c>
      <c r="L23" s="14">
        <f>'Assumption-(MedFit)'!$D$87/12</f>
        <v>41666.666666666664</v>
      </c>
      <c r="M23" s="14">
        <f>'Assumption-(MedFit)'!$D$87/12</f>
        <v>41666.666666666664</v>
      </c>
      <c r="N23" s="14">
        <f>'Assumption-(MedFit)'!$D$87/12</f>
        <v>41666.666666666664</v>
      </c>
      <c r="O23" s="14">
        <f>'Assumption-(MedFit)'!$D$87/12</f>
        <v>41666.666666666664</v>
      </c>
      <c r="P23" s="11">
        <f t="shared" si="4"/>
        <v>500000.00000000006</v>
      </c>
      <c r="Q23" s="12">
        <f>P23*(1+'Assumption-(MedFit)'!E$74)</f>
        <v>575000</v>
      </c>
      <c r="R23" s="12">
        <f>Q23*(1+'Assumption-(MedFit)'!F$74)</f>
        <v>661250</v>
      </c>
      <c r="S23" s="12">
        <f>R23*(1+'Assumption-(MedFit)'!G$74)</f>
        <v>760437.49999999988</v>
      </c>
      <c r="T23" s="12">
        <f>S23*(1+'Assumption-(MedFit)'!H$74)</f>
        <v>874503.12499999977</v>
      </c>
      <c r="U23" s="5"/>
    </row>
    <row r="24" spans="2:21" ht="12.5" x14ac:dyDescent="0.25">
      <c r="B24" s="18" t="s">
        <v>27</v>
      </c>
      <c r="C24" s="9"/>
      <c r="D24" s="14">
        <f>'Assumption-(MedFit)'!$D89/12</f>
        <v>20833.333333333332</v>
      </c>
      <c r="E24" s="14">
        <f>'Assumption-(MedFit)'!$D89/12</f>
        <v>20833.333333333332</v>
      </c>
      <c r="F24" s="14">
        <f>'Assumption-(MedFit)'!$D89/12</f>
        <v>20833.333333333332</v>
      </c>
      <c r="G24" s="14">
        <f>'Assumption-(MedFit)'!$D89/12</f>
        <v>20833.333333333332</v>
      </c>
      <c r="H24" s="14">
        <f>'Assumption-(MedFit)'!$D89/12</f>
        <v>20833.333333333332</v>
      </c>
      <c r="I24" s="14">
        <f>'Assumption-(MedFit)'!$D89/12</f>
        <v>20833.333333333332</v>
      </c>
      <c r="J24" s="14">
        <f>'Assumption-(MedFit)'!$D89/12</f>
        <v>20833.333333333332</v>
      </c>
      <c r="K24" s="14">
        <f>'Assumption-(MedFit)'!$D89/12</f>
        <v>20833.333333333332</v>
      </c>
      <c r="L24" s="14">
        <f>'Assumption-(MedFit)'!$D89/12</f>
        <v>20833.333333333332</v>
      </c>
      <c r="M24" s="14">
        <f>'Assumption-(MedFit)'!$D89/12</f>
        <v>20833.333333333332</v>
      </c>
      <c r="N24" s="14">
        <f>'Assumption-(MedFit)'!$D89/12</f>
        <v>20833.333333333332</v>
      </c>
      <c r="O24" s="14">
        <f>'Assumption-(MedFit)'!$D89/12</f>
        <v>20833.333333333332</v>
      </c>
      <c r="P24" s="11">
        <f t="shared" si="4"/>
        <v>250000.00000000003</v>
      </c>
      <c r="Q24" s="12">
        <f>P24*(1+'Assumption-(MedFit)'!E$74)</f>
        <v>287500</v>
      </c>
      <c r="R24" s="12">
        <f>Q24*(1+'Assumption-(MedFit)'!F$74)</f>
        <v>330625</v>
      </c>
      <c r="S24" s="12">
        <f>R24*(1+'Assumption-(MedFit)'!G$74)</f>
        <v>380218.74999999994</v>
      </c>
      <c r="T24" s="12">
        <f>S24*(1+'Assumption-(MedFit)'!H$74)</f>
        <v>437251.56249999988</v>
      </c>
      <c r="U24" s="5"/>
    </row>
    <row r="25" spans="2:21" ht="12.5" x14ac:dyDescent="0.25">
      <c r="B25" s="18" t="s">
        <v>26</v>
      </c>
      <c r="C25" s="9"/>
      <c r="D25" s="14">
        <f>'Assumption-(MedFit)'!$D91/12</f>
        <v>0</v>
      </c>
      <c r="E25" s="14">
        <f>'Assumption-(MedFit)'!$D91/12</f>
        <v>0</v>
      </c>
      <c r="F25" s="14">
        <f>'Assumption-(MedFit)'!$D91/12</f>
        <v>0</v>
      </c>
      <c r="G25" s="14">
        <f>'Assumption-(MedFit)'!$D91/12</f>
        <v>0</v>
      </c>
      <c r="H25" s="14">
        <f>'Assumption-(MedFit)'!$D91/12</f>
        <v>0</v>
      </c>
      <c r="I25" s="14">
        <f>'Assumption-(MedFit)'!$D91/12</f>
        <v>0</v>
      </c>
      <c r="J25" s="14">
        <f>'Assumption-(MedFit)'!$D91/12</f>
        <v>0</v>
      </c>
      <c r="K25" s="14">
        <f>'Assumption-(MedFit)'!$D91/12</f>
        <v>0</v>
      </c>
      <c r="L25" s="14">
        <f>'Assumption-(MedFit)'!$D91/12</f>
        <v>0</v>
      </c>
      <c r="M25" s="14">
        <f>'Assumption-(MedFit)'!$D91/12</f>
        <v>0</v>
      </c>
      <c r="N25" s="14">
        <f>'Assumption-(MedFit)'!$D91/12</f>
        <v>0</v>
      </c>
      <c r="O25" s="14">
        <f>'Assumption-(MedFit)'!$D91/12</f>
        <v>0</v>
      </c>
      <c r="P25" s="11">
        <f t="shared" si="4"/>
        <v>0</v>
      </c>
      <c r="Q25" s="12">
        <f>P25*(1+'Assumption-(MedFit)'!E$74)</f>
        <v>0</v>
      </c>
      <c r="R25" s="12">
        <f>Q25*(1+'Assumption-(MedFit)'!F$74)</f>
        <v>0</v>
      </c>
      <c r="S25" s="12">
        <f>R25*(1+'Assumption-(MedFit)'!G$74)</f>
        <v>0</v>
      </c>
      <c r="T25" s="12">
        <f>S25*(1+'Assumption-(MedFit)'!H$74)</f>
        <v>0</v>
      </c>
      <c r="U25" s="5"/>
    </row>
    <row r="26" spans="2:21" ht="12.5" x14ac:dyDescent="0.25">
      <c r="B26" s="18" t="s">
        <v>25</v>
      </c>
      <c r="C26" s="9"/>
      <c r="D26" s="14">
        <f>'Assumption-(MedFit)'!$D92/12</f>
        <v>0</v>
      </c>
      <c r="E26" s="14">
        <f>'Assumption-(MedFit)'!$D92/12</f>
        <v>0</v>
      </c>
      <c r="F26" s="14">
        <f>'Assumption-(MedFit)'!$D92/12</f>
        <v>0</v>
      </c>
      <c r="G26" s="14">
        <f>'Assumption-(MedFit)'!$D92/12</f>
        <v>0</v>
      </c>
      <c r="H26" s="14">
        <f>'Assumption-(MedFit)'!$D92/12</f>
        <v>0</v>
      </c>
      <c r="I26" s="14">
        <f>'Assumption-(MedFit)'!$D92/12</f>
        <v>0</v>
      </c>
      <c r="J26" s="14">
        <f>'Assumption-(MedFit)'!$D92/12</f>
        <v>0</v>
      </c>
      <c r="K26" s="14">
        <f>'Assumption-(MedFit)'!$D92/12</f>
        <v>0</v>
      </c>
      <c r="L26" s="14">
        <f>'Assumption-(MedFit)'!$D92/12</f>
        <v>0</v>
      </c>
      <c r="M26" s="14">
        <f>'Assumption-(MedFit)'!$D92/12</f>
        <v>0</v>
      </c>
      <c r="N26" s="14">
        <f>'Assumption-(MedFit)'!$D92/12</f>
        <v>0</v>
      </c>
      <c r="O26" s="14">
        <f>'Assumption-(MedFit)'!$D92/12</f>
        <v>0</v>
      </c>
      <c r="P26" s="11">
        <f t="shared" si="4"/>
        <v>0</v>
      </c>
      <c r="Q26" s="12">
        <f>P26*(1+'Assumption-(MedFit)'!E$74)</f>
        <v>0</v>
      </c>
      <c r="R26" s="12">
        <f>Q26*(1+'Assumption-(MedFit)'!F$74)</f>
        <v>0</v>
      </c>
      <c r="S26" s="12">
        <f>R26*(1+'Assumption-(MedFit)'!G$74)</f>
        <v>0</v>
      </c>
      <c r="T26" s="12">
        <f>S26*(1+'Assumption-(MedFit)'!H$74)</f>
        <v>0</v>
      </c>
      <c r="U26" s="5"/>
    </row>
    <row r="27" spans="2:21" ht="12.5" x14ac:dyDescent="0.25">
      <c r="B27" s="18" t="s">
        <v>24</v>
      </c>
      <c r="C27" s="9"/>
      <c r="D27" s="14">
        <f>'Assumption-(MedFit)'!$D93/12</f>
        <v>0</v>
      </c>
      <c r="E27" s="14">
        <f>'Assumption-(MedFit)'!$D93/12</f>
        <v>0</v>
      </c>
      <c r="F27" s="14">
        <f>'Assumption-(MedFit)'!$D93/12</f>
        <v>0</v>
      </c>
      <c r="G27" s="14">
        <f>'Assumption-(MedFit)'!$D93/12</f>
        <v>0</v>
      </c>
      <c r="H27" s="14">
        <f>'Assumption-(MedFit)'!$D93/12</f>
        <v>0</v>
      </c>
      <c r="I27" s="14">
        <f>'Assumption-(MedFit)'!$D93/12</f>
        <v>0</v>
      </c>
      <c r="J27" s="14">
        <f>'Assumption-(MedFit)'!$D93/12</f>
        <v>0</v>
      </c>
      <c r="K27" s="14">
        <f>'Assumption-(MedFit)'!$D93/12</f>
        <v>0</v>
      </c>
      <c r="L27" s="14">
        <f>'Assumption-(MedFit)'!$D93/12</f>
        <v>0</v>
      </c>
      <c r="M27" s="14">
        <f>'Assumption-(MedFit)'!$D93/12</f>
        <v>0</v>
      </c>
      <c r="N27" s="14">
        <f>'Assumption-(MedFit)'!$D93/12</f>
        <v>0</v>
      </c>
      <c r="O27" s="14">
        <f>'Assumption-(MedFit)'!$D93/12</f>
        <v>0</v>
      </c>
      <c r="P27" s="11">
        <f t="shared" si="4"/>
        <v>0</v>
      </c>
      <c r="Q27" s="12">
        <f>P27*(1+'Assumption-(MedFit)'!E$74)</f>
        <v>0</v>
      </c>
      <c r="R27" s="12">
        <f>Q27*(1+'Assumption-(MedFit)'!F$74)</f>
        <v>0</v>
      </c>
      <c r="S27" s="12">
        <f>R27*(1+'Assumption-(MedFit)'!G$74)</f>
        <v>0</v>
      </c>
      <c r="T27" s="12">
        <f>S27*(1+'Assumption-(MedFit)'!H$74)</f>
        <v>0</v>
      </c>
      <c r="U27" s="5"/>
    </row>
    <row r="28" spans="2:21" ht="12.5" x14ac:dyDescent="0.25">
      <c r="B28" s="18" t="s">
        <v>23</v>
      </c>
      <c r="C28" s="9"/>
      <c r="D28" s="14">
        <f>'Assumption-(MedFit)'!$D95/12</f>
        <v>0</v>
      </c>
      <c r="E28" s="14">
        <f>'Assumption-(MedFit)'!$D95/12</f>
        <v>0</v>
      </c>
      <c r="F28" s="14">
        <f>'Assumption-(MedFit)'!$D95/12</f>
        <v>0</v>
      </c>
      <c r="G28" s="14">
        <f>'Assumption-(MedFit)'!$D95/12</f>
        <v>0</v>
      </c>
      <c r="H28" s="14">
        <f>'Assumption-(MedFit)'!$D95/12</f>
        <v>0</v>
      </c>
      <c r="I28" s="14">
        <f>'Assumption-(MedFit)'!$D95/12</f>
        <v>0</v>
      </c>
      <c r="J28" s="14">
        <f>'Assumption-(MedFit)'!$D95/12</f>
        <v>0</v>
      </c>
      <c r="K28" s="14">
        <f>'Assumption-(MedFit)'!$D95/12</f>
        <v>0</v>
      </c>
      <c r="L28" s="14">
        <f>'Assumption-(MedFit)'!$D95/12</f>
        <v>0</v>
      </c>
      <c r="M28" s="14">
        <f>'Assumption-(MedFit)'!$D95/12</f>
        <v>0</v>
      </c>
      <c r="N28" s="14">
        <f>'Assumption-(MedFit)'!$D95/12</f>
        <v>0</v>
      </c>
      <c r="O28" s="14">
        <f>'Assumption-(MedFit)'!$D95/12</f>
        <v>0</v>
      </c>
      <c r="P28" s="11">
        <f t="shared" si="4"/>
        <v>0</v>
      </c>
      <c r="Q28" s="12">
        <f>P28*(1+'Assumption-(MedFit)'!E$74)</f>
        <v>0</v>
      </c>
      <c r="R28" s="12">
        <f>Q28*(1+'Assumption-(MedFit)'!F$74)</f>
        <v>0</v>
      </c>
      <c r="S28" s="12">
        <f>R28*(1+'Assumption-(MedFit)'!G$74)</f>
        <v>0</v>
      </c>
      <c r="T28" s="12">
        <f>S28*(1+'Assumption-(MedFit)'!H$74)</f>
        <v>0</v>
      </c>
      <c r="U28" s="5"/>
    </row>
    <row r="29" spans="2:21" ht="12.5" x14ac:dyDescent="0.25">
      <c r="B29" s="18" t="s">
        <v>22</v>
      </c>
      <c r="C29" s="9"/>
      <c r="D29" s="14">
        <f>'Assumption-(MedFit)'!$D96/12</f>
        <v>8333.3333333333339</v>
      </c>
      <c r="E29" s="14">
        <f>'Assumption-(MedFit)'!$D96/12</f>
        <v>8333.3333333333339</v>
      </c>
      <c r="F29" s="14">
        <f>'Assumption-(MedFit)'!$D96/12</f>
        <v>8333.3333333333339</v>
      </c>
      <c r="G29" s="14">
        <f>'Assumption-(MedFit)'!$D96/12</f>
        <v>8333.3333333333339</v>
      </c>
      <c r="H29" s="14">
        <f>'Assumption-(MedFit)'!$D96/12</f>
        <v>8333.3333333333339</v>
      </c>
      <c r="I29" s="14">
        <f>'Assumption-(MedFit)'!$D96/12</f>
        <v>8333.3333333333339</v>
      </c>
      <c r="J29" s="14">
        <f>'Assumption-(MedFit)'!$D96/12</f>
        <v>8333.3333333333339</v>
      </c>
      <c r="K29" s="14">
        <f>'Assumption-(MedFit)'!$D96/12</f>
        <v>8333.3333333333339</v>
      </c>
      <c r="L29" s="14">
        <f>'Assumption-(MedFit)'!$D96/12</f>
        <v>8333.3333333333339</v>
      </c>
      <c r="M29" s="14">
        <f>'Assumption-(MedFit)'!$D96/12</f>
        <v>8333.3333333333339</v>
      </c>
      <c r="N29" s="14">
        <f>'Assumption-(MedFit)'!$D96/12</f>
        <v>8333.3333333333339</v>
      </c>
      <c r="O29" s="14">
        <f>'Assumption-(MedFit)'!$D96/12</f>
        <v>8333.3333333333339</v>
      </c>
      <c r="P29" s="11">
        <f t="shared" si="4"/>
        <v>99999.999999999985</v>
      </c>
      <c r="Q29" s="12">
        <f>P29*(1+'Assumption-(MedFit)'!E$74)</f>
        <v>114999.99999999997</v>
      </c>
      <c r="R29" s="12">
        <f>Q29*(1+'Assumption-(MedFit)'!F$74)</f>
        <v>132249.99999999994</v>
      </c>
      <c r="S29" s="12">
        <f>R29*(1+'Assumption-(MedFit)'!G$74)</f>
        <v>152087.49999999991</v>
      </c>
      <c r="T29" s="12">
        <f>S29*(1+'Assumption-(MedFit)'!H$74)</f>
        <v>174900.62499999988</v>
      </c>
      <c r="U29" s="5"/>
    </row>
    <row r="30" spans="2:21" ht="7.5" customHeight="1" thickBot="1" x14ac:dyDescent="0.4">
      <c r="B30" s="19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5"/>
    </row>
    <row r="31" spans="2:21" ht="13" thickBot="1" x14ac:dyDescent="0.4">
      <c r="B31" s="21" t="s">
        <v>38</v>
      </c>
      <c r="C31" s="13"/>
      <c r="D31" s="13">
        <f t="shared" ref="D31:T31" si="5">SUM(D20:D29)</f>
        <v>136187.52083333331</v>
      </c>
      <c r="E31" s="13">
        <f t="shared" si="5"/>
        <v>136187.52083333331</v>
      </c>
      <c r="F31" s="13">
        <f t="shared" si="5"/>
        <v>136187.52083333331</v>
      </c>
      <c r="G31" s="13">
        <f t="shared" si="5"/>
        <v>136187.52083333331</v>
      </c>
      <c r="H31" s="13">
        <f t="shared" si="5"/>
        <v>136187.52083333331</v>
      </c>
      <c r="I31" s="13">
        <f t="shared" si="5"/>
        <v>136187.52083333331</v>
      </c>
      <c r="J31" s="13">
        <f t="shared" si="5"/>
        <v>136187.52083333331</v>
      </c>
      <c r="K31" s="13">
        <f t="shared" si="5"/>
        <v>136187.52083333331</v>
      </c>
      <c r="L31" s="13">
        <f t="shared" si="5"/>
        <v>136187.52083333331</v>
      </c>
      <c r="M31" s="13">
        <f t="shared" si="5"/>
        <v>136187.52083333331</v>
      </c>
      <c r="N31" s="13">
        <f t="shared" si="5"/>
        <v>136187.52083333331</v>
      </c>
      <c r="O31" s="13">
        <f t="shared" si="5"/>
        <v>136187.52083333331</v>
      </c>
      <c r="P31" s="13">
        <f t="shared" si="5"/>
        <v>1634250.25</v>
      </c>
      <c r="Q31" s="13">
        <f t="shared" si="5"/>
        <v>1879387.7874999999</v>
      </c>
      <c r="R31" s="13">
        <f t="shared" si="5"/>
        <v>2161295.9556249999</v>
      </c>
      <c r="S31" s="13">
        <f t="shared" si="5"/>
        <v>2485490.3489687494</v>
      </c>
      <c r="T31" s="13">
        <f t="shared" si="5"/>
        <v>2858313.9013140621</v>
      </c>
      <c r="U31" s="5"/>
    </row>
    <row r="32" spans="2:21" ht="12.5" x14ac:dyDescent="0.25">
      <c r="B32" s="18"/>
      <c r="C32" s="9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1"/>
      <c r="Q32" s="12"/>
      <c r="R32" s="12"/>
      <c r="S32" s="12"/>
      <c r="T32" s="12"/>
      <c r="U32" s="5"/>
    </row>
    <row r="33" spans="2:21" ht="13" thickBot="1" x14ac:dyDescent="0.4">
      <c r="B33" s="16" t="s">
        <v>6</v>
      </c>
      <c r="C33" s="6"/>
      <c r="D33" s="31">
        <f t="shared" ref="D33:T33" si="6">D17-D31</f>
        <v>4220758.3125</v>
      </c>
      <c r="E33" s="31">
        <f t="shared" si="6"/>
        <v>4220758.3125</v>
      </c>
      <c r="F33" s="31">
        <f t="shared" si="6"/>
        <v>4220758.3125</v>
      </c>
      <c r="G33" s="31">
        <f t="shared" si="6"/>
        <v>4220758.3125</v>
      </c>
      <c r="H33" s="31">
        <f t="shared" si="6"/>
        <v>4220758.3125</v>
      </c>
      <c r="I33" s="31">
        <f t="shared" si="6"/>
        <v>4220758.3125</v>
      </c>
      <c r="J33" s="31">
        <f t="shared" si="6"/>
        <v>4220758.3125</v>
      </c>
      <c r="K33" s="31">
        <f t="shared" si="6"/>
        <v>4220758.3125</v>
      </c>
      <c r="L33" s="31">
        <f t="shared" si="6"/>
        <v>4220758.3125</v>
      </c>
      <c r="M33" s="31">
        <f t="shared" si="6"/>
        <v>4220758.3125</v>
      </c>
      <c r="N33" s="31">
        <f t="shared" si="6"/>
        <v>4220758.3125</v>
      </c>
      <c r="O33" s="31">
        <f t="shared" si="6"/>
        <v>4220758.3125</v>
      </c>
      <c r="P33" s="31">
        <f t="shared" si="6"/>
        <v>50649099.75</v>
      </c>
      <c r="Q33" s="31">
        <f t="shared" si="6"/>
        <v>76545637.212500006</v>
      </c>
      <c r="R33" s="31">
        <f t="shared" si="6"/>
        <v>106683675.88437499</v>
      </c>
      <c r="S33" s="31">
        <f t="shared" si="6"/>
        <v>147720570.79023123</v>
      </c>
      <c r="T33" s="31">
        <f t="shared" si="6"/>
        <v>205603802.54107788</v>
      </c>
      <c r="U33" s="5"/>
    </row>
    <row r="34" spans="2:21" ht="13" thickBot="1" x14ac:dyDescent="0.4">
      <c r="B34" s="1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5"/>
      <c r="Q34" s="15"/>
      <c r="R34" s="15"/>
      <c r="S34" s="15"/>
      <c r="T34" s="15"/>
      <c r="U34" s="5"/>
    </row>
    <row r="35" spans="2:21" ht="13" thickBot="1" x14ac:dyDescent="0.4">
      <c r="B35" s="16" t="s">
        <v>40</v>
      </c>
      <c r="C35" s="6"/>
      <c r="D35" s="8">
        <f>D33</f>
        <v>4220758.3125</v>
      </c>
      <c r="E35" s="32">
        <f>D35+E33</f>
        <v>8441516.625</v>
      </c>
      <c r="F35" s="32">
        <f>E35+F33</f>
        <v>12662274.9375</v>
      </c>
      <c r="G35" s="32">
        <f t="shared" ref="G35:N35" si="7">F35+G33</f>
        <v>16883033.25</v>
      </c>
      <c r="H35" s="32">
        <f t="shared" si="7"/>
        <v>21103791.5625</v>
      </c>
      <c r="I35" s="32">
        <f t="shared" si="7"/>
        <v>25324549.875</v>
      </c>
      <c r="J35" s="32">
        <f t="shared" si="7"/>
        <v>29545308.1875</v>
      </c>
      <c r="K35" s="32">
        <f t="shared" si="7"/>
        <v>33766066.5</v>
      </c>
      <c r="L35" s="32">
        <f t="shared" si="7"/>
        <v>37986824.8125</v>
      </c>
      <c r="M35" s="32">
        <f t="shared" si="7"/>
        <v>42207583.125</v>
      </c>
      <c r="N35" s="32">
        <f t="shared" si="7"/>
        <v>46428341.4375</v>
      </c>
      <c r="O35" s="32">
        <f>N35+O33</f>
        <v>50649099.75</v>
      </c>
      <c r="P35" s="15">
        <f>P33</f>
        <v>50649099.75</v>
      </c>
      <c r="Q35" s="15">
        <f>P35+Q33</f>
        <v>127194736.96250001</v>
      </c>
      <c r="R35" s="15">
        <f t="shared" ref="R35:T35" si="8">Q35+R33</f>
        <v>233878412.84687501</v>
      </c>
      <c r="S35" s="15">
        <f t="shared" si="8"/>
        <v>381598983.63710624</v>
      </c>
      <c r="T35" s="15">
        <f t="shared" si="8"/>
        <v>587202786.17818415</v>
      </c>
      <c r="U35" s="5"/>
    </row>
    <row r="36" spans="2:21" ht="13" thickBot="1" x14ac:dyDescent="0.4">
      <c r="B36" s="1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5"/>
      <c r="Q36" s="15"/>
      <c r="R36" s="15"/>
      <c r="S36" s="15"/>
      <c r="T36" s="15"/>
      <c r="U36" s="5"/>
    </row>
    <row r="37" spans="2:21" ht="13" thickBot="1" x14ac:dyDescent="0.4">
      <c r="B37" s="16" t="s">
        <v>41</v>
      </c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5"/>
      <c r="Q37" s="15"/>
      <c r="R37" s="15"/>
      <c r="S37" s="15"/>
      <c r="T37" s="15"/>
      <c r="U37" s="5"/>
    </row>
    <row r="38" spans="2:21" ht="13" thickBot="1" x14ac:dyDescent="0.4">
      <c r="B38" s="1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5"/>
      <c r="Q38" s="15"/>
      <c r="R38" s="15"/>
      <c r="S38" s="15"/>
      <c r="T38" s="15"/>
      <c r="U38" s="5"/>
    </row>
    <row r="39" spans="2:21" ht="13" thickBot="1" x14ac:dyDescent="0.4">
      <c r="B39" s="16" t="s">
        <v>42</v>
      </c>
      <c r="C39" s="6"/>
      <c r="D39" s="33">
        <f>D35-D37</f>
        <v>4220758.3125</v>
      </c>
      <c r="E39" s="33">
        <f t="shared" ref="E39:O39" si="9">E35-E37</f>
        <v>8441516.625</v>
      </c>
      <c r="F39" s="33">
        <f t="shared" si="9"/>
        <v>12662274.9375</v>
      </c>
      <c r="G39" s="33">
        <f t="shared" si="9"/>
        <v>16883033.25</v>
      </c>
      <c r="H39" s="33">
        <f t="shared" si="9"/>
        <v>21103791.5625</v>
      </c>
      <c r="I39" s="33">
        <f t="shared" si="9"/>
        <v>25324549.875</v>
      </c>
      <c r="J39" s="33">
        <f t="shared" si="9"/>
        <v>29545308.1875</v>
      </c>
      <c r="K39" s="33">
        <f t="shared" si="9"/>
        <v>33766066.5</v>
      </c>
      <c r="L39" s="33">
        <f t="shared" si="9"/>
        <v>37986824.8125</v>
      </c>
      <c r="M39" s="33">
        <f t="shared" si="9"/>
        <v>42207583.125</v>
      </c>
      <c r="N39" s="33">
        <f t="shared" si="9"/>
        <v>46428341.4375</v>
      </c>
      <c r="O39" s="33">
        <f t="shared" si="9"/>
        <v>50649099.75</v>
      </c>
      <c r="P39" s="15">
        <f>P35-P37</f>
        <v>50649099.75</v>
      </c>
      <c r="Q39" s="15">
        <f t="shared" ref="Q39:T39" si="10">Q35-Q37</f>
        <v>127194736.96250001</v>
      </c>
      <c r="R39" s="15">
        <f t="shared" si="10"/>
        <v>233878412.84687501</v>
      </c>
      <c r="S39" s="15">
        <f t="shared" si="10"/>
        <v>381598983.63710624</v>
      </c>
      <c r="T39" s="15">
        <f t="shared" si="10"/>
        <v>587202786.17818415</v>
      </c>
      <c r="U39" s="5"/>
    </row>
    <row r="40" spans="2:21" ht="13" thickBot="1" x14ac:dyDescent="0.4">
      <c r="B40" s="1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5"/>
      <c r="Q40" s="15"/>
      <c r="R40" s="15"/>
      <c r="S40" s="15"/>
      <c r="T40" s="15"/>
      <c r="U40" s="5"/>
    </row>
    <row r="41" spans="2:21" ht="13" thickBot="1" x14ac:dyDescent="0.4">
      <c r="B41" s="16" t="s">
        <v>43</v>
      </c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 t="str">
        <f>IF(P39&gt;0,"1 Year"," ")</f>
        <v>1 Year</v>
      </c>
      <c r="Q41" s="7" t="str">
        <f>IF(Q39&gt;0,"2 Year"," ")</f>
        <v>2 Year</v>
      </c>
      <c r="R41" s="7" t="str">
        <f>IF(R39&gt;0,"3 Year"," ")</f>
        <v>3 Year</v>
      </c>
      <c r="S41" s="7" t="str">
        <f>IF(S39&gt;0,"4 Year"," ")</f>
        <v>4 Year</v>
      </c>
      <c r="T41" s="7" t="str">
        <f>IF(T39&gt;0,"5 Year"," ")</f>
        <v>5 Year</v>
      </c>
    </row>
    <row r="42" spans="2:21" x14ac:dyDescent="0.35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2:21" x14ac:dyDescent="0.35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2:21" x14ac:dyDescent="0.35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</sheetData>
  <phoneticPr fontId="4" type="noConversion"/>
  <pageMargins left="0.7" right="0.7" top="0.75" bottom="0.75" header="0.3" footer="0.3"/>
  <pageSetup scale="43" orientation="portrait" r:id="rId1"/>
  <ignoredErrors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Assumption-(MedFit)</vt:lpstr>
      <vt:lpstr>Computations-(MedFit)</vt:lpstr>
      <vt:lpstr>Computations-Outputs</vt:lpstr>
      <vt:lpstr>'Assumption-(MedFit)'!Print_Area</vt:lpstr>
      <vt:lpstr>'Computations-(MedFit)'!Print_Area</vt:lpstr>
      <vt:lpstr>'Computations-Outputs'!Print_Area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Olumide Osadugba</dc:creator>
  <cp:lastModifiedBy>MMS PHIA Chief Operational Officer</cp:lastModifiedBy>
  <dcterms:created xsi:type="dcterms:W3CDTF">2023-05-03T11:38:25Z</dcterms:created>
  <dcterms:modified xsi:type="dcterms:W3CDTF">2025-04-04T14:41:07Z</dcterms:modified>
</cp:coreProperties>
</file>