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Budgets for MMS\"/>
    </mc:Choice>
  </mc:AlternateContent>
  <xr:revisionPtr revIDLastSave="0" documentId="8_{05E8A594-9CEB-4BA8-87AE-DD412E07CCA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ssumption-Inputs" sheetId="5" r:id="rId1"/>
    <sheet name="Computations-Outputs" sheetId="4" r:id="rId2"/>
  </sheets>
  <definedNames>
    <definedName name="afril">#REF!</definedName>
    <definedName name="AS2DocOpenMode" hidden="1">"AS2DocumentBrowse"</definedName>
    <definedName name="BS">#REF!</definedName>
    <definedName name="CIQWBGuid" hidden="1">"2cd8126d-26c3-430c-b7fa-a069e3a1fc62"</definedName>
    <definedName name="costaa">#REF!</definedName>
    <definedName name="F">#REF!</definedName>
    <definedName name="fs">#REF!</definedName>
    <definedName name="GGGG">#REF!</definedName>
    <definedName name="groupincome">#REF!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MANS">#REF!</definedName>
    <definedName name="OLDMAN">#REF!</definedName>
    <definedName name="PAC">#REF!</definedName>
    <definedName name="PL">#REF!</definedName>
    <definedName name="_xlnm.Print_Area" localSheetId="0">'Assumption-Inputs'!$A$1:$P$88</definedName>
    <definedName name="_xlnm.Print_Area" localSheetId="1">'Computations-Outputs'!$A$1:$T$52</definedName>
    <definedName name="REGISTRAR">#REF!</definedName>
    <definedName name="SCHD3">#REF!</definedName>
    <definedName name="SCHED1">#REF!</definedName>
    <definedName name="SCHED2">#REF!</definedName>
    <definedName name="SCHED3">#REF!</definedName>
    <definedName name="SCHED4">#REF!</definedName>
    <definedName name="SEMI">#REF!</definedName>
    <definedName name="SSES">#REF!</definedName>
    <definedName name="SUMMARY">#REF!</definedName>
    <definedName name="yy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4" i="5" l="1"/>
  <c r="E125" i="5" s="1"/>
  <c r="E80" i="5"/>
  <c r="R27" i="5"/>
  <c r="E47" i="5"/>
  <c r="R47" i="5" s="1"/>
  <c r="E59" i="5"/>
  <c r="R49" i="5"/>
  <c r="R50" i="5"/>
  <c r="R51" i="5"/>
  <c r="R52" i="5"/>
  <c r="R53" i="5"/>
  <c r="R54" i="5"/>
  <c r="R55" i="5"/>
  <c r="R57" i="5"/>
  <c r="R58" i="5"/>
  <c r="F7" i="5" l="1"/>
  <c r="E7" i="5"/>
  <c r="G7" i="5" l="1"/>
  <c r="H7" i="5" l="1"/>
  <c r="I7" i="5" l="1"/>
  <c r="J7" i="5" l="1"/>
  <c r="K7" i="5" l="1"/>
  <c r="L7" i="5" l="1"/>
  <c r="M7" i="5" l="1"/>
  <c r="N7" i="5" l="1"/>
  <c r="O7" i="5" l="1"/>
  <c r="P7" i="5" l="1"/>
  <c r="R7" i="5" s="1"/>
  <c r="E60" i="5" l="1"/>
  <c r="F40" i="5"/>
  <c r="G40" i="5" s="1"/>
  <c r="H40" i="5" s="1"/>
  <c r="I40" i="5" s="1"/>
  <c r="J40" i="5" s="1"/>
  <c r="K40" i="5" s="1"/>
  <c r="L40" i="5" s="1"/>
  <c r="M40" i="5" s="1"/>
  <c r="N40" i="5" s="1"/>
  <c r="O40" i="5" s="1"/>
  <c r="P40" i="5" s="1"/>
  <c r="F60" i="5" l="1"/>
  <c r="G60" i="5" s="1"/>
  <c r="H60" i="5" s="1"/>
  <c r="I60" i="5" s="1"/>
  <c r="J60" i="5" s="1"/>
  <c r="K60" i="5" s="1"/>
  <c r="L60" i="5" s="1"/>
  <c r="M60" i="5" s="1"/>
  <c r="N60" i="5" s="1"/>
  <c r="O60" i="5" s="1"/>
  <c r="P60" i="5" s="1"/>
  <c r="R60" i="5" s="1"/>
  <c r="E20" i="5"/>
  <c r="L20" i="5" l="1"/>
  <c r="N20" i="5"/>
  <c r="I20" i="5"/>
  <c r="K20" i="5"/>
  <c r="O20" i="5"/>
  <c r="H20" i="5"/>
  <c r="J20" i="5"/>
  <c r="F20" i="5"/>
  <c r="M20" i="5"/>
  <c r="G20" i="5"/>
  <c r="P20" i="5"/>
  <c r="X80" i="5"/>
  <c r="W79" i="5"/>
  <c r="X79" i="5" s="1"/>
  <c r="X82" i="5" l="1"/>
  <c r="D30" i="4"/>
  <c r="D31" i="4"/>
  <c r="D32" i="4"/>
  <c r="D33" i="4"/>
  <c r="D34" i="4"/>
  <c r="D35" i="4"/>
  <c r="D42" i="4"/>
  <c r="D29" i="4"/>
  <c r="D28" i="4"/>
  <c r="D27" i="4"/>
  <c r="F56" i="5" l="1"/>
  <c r="E61" i="5"/>
  <c r="E13" i="5"/>
  <c r="E12" i="5"/>
  <c r="E46" i="5"/>
  <c r="E11" i="5"/>
  <c r="R41" i="5"/>
  <c r="R40" i="5"/>
  <c r="R39" i="5"/>
  <c r="R26" i="5"/>
  <c r="R28" i="5"/>
  <c r="E21" i="5" l="1"/>
  <c r="G56" i="5"/>
  <c r="H56" i="5" s="1"/>
  <c r="I56" i="5" s="1"/>
  <c r="J56" i="5" s="1"/>
  <c r="K56" i="5" s="1"/>
  <c r="L56" i="5" s="1"/>
  <c r="M56" i="5" s="1"/>
  <c r="N56" i="5" s="1"/>
  <c r="O56" i="5" s="1"/>
  <c r="P56" i="5" s="1"/>
  <c r="E16" i="5"/>
  <c r="E10" i="5"/>
  <c r="R56" i="5" l="1"/>
  <c r="F16" i="5"/>
  <c r="E15" i="5"/>
  <c r="D8" i="4" s="1"/>
  <c r="G16" i="5" l="1"/>
  <c r="F15" i="5"/>
  <c r="E8" i="4" s="1"/>
  <c r="E48" i="5"/>
  <c r="E6" i="5"/>
  <c r="H16" i="5" l="1"/>
  <c r="G15" i="5"/>
  <c r="F8" i="4" s="1"/>
  <c r="F59" i="5"/>
  <c r="E19" i="5"/>
  <c r="F61" i="5"/>
  <c r="F46" i="5"/>
  <c r="E34" i="4"/>
  <c r="F34" i="4" s="1"/>
  <c r="G34" i="4" s="1"/>
  <c r="H34" i="4" s="1"/>
  <c r="I34" i="4" s="1"/>
  <c r="J34" i="4" s="1"/>
  <c r="K34" i="4" s="1"/>
  <c r="L34" i="4" s="1"/>
  <c r="M34" i="4" s="1"/>
  <c r="N34" i="4" s="1"/>
  <c r="O34" i="4" s="1"/>
  <c r="E35" i="4"/>
  <c r="F35" i="4" s="1"/>
  <c r="E27" i="4"/>
  <c r="F27" i="4" s="1"/>
  <c r="E28" i="4"/>
  <c r="F28" i="4" s="1"/>
  <c r="G28" i="4" s="1"/>
  <c r="H28" i="4" s="1"/>
  <c r="I28" i="4" s="1"/>
  <c r="E29" i="4"/>
  <c r="F29" i="4" s="1"/>
  <c r="E30" i="4"/>
  <c r="F30" i="4" s="1"/>
  <c r="G30" i="4" s="1"/>
  <c r="H30" i="4" s="1"/>
  <c r="I30" i="4" s="1"/>
  <c r="E31" i="4"/>
  <c r="F31" i="4" s="1"/>
  <c r="E32" i="4"/>
  <c r="F32" i="4" s="1"/>
  <c r="G32" i="4" s="1"/>
  <c r="H32" i="4" s="1"/>
  <c r="I32" i="4" s="1"/>
  <c r="E33" i="4"/>
  <c r="F33" i="4" s="1"/>
  <c r="F12" i="5"/>
  <c r="F48" i="5"/>
  <c r="G46" i="5" l="1"/>
  <c r="H46" i="5" s="1"/>
  <c r="I46" i="5" s="1"/>
  <c r="J46" i="5" s="1"/>
  <c r="G61" i="5"/>
  <c r="F21" i="5"/>
  <c r="G59" i="5"/>
  <c r="E18" i="5"/>
  <c r="D9" i="4" s="1"/>
  <c r="I16" i="5"/>
  <c r="H15" i="5"/>
  <c r="G8" i="4" s="1"/>
  <c r="G13" i="5"/>
  <c r="F13" i="5"/>
  <c r="G11" i="5"/>
  <c r="F11" i="5"/>
  <c r="F19" i="5"/>
  <c r="G48" i="5"/>
  <c r="H48" i="5" s="1"/>
  <c r="I48" i="5" s="1"/>
  <c r="J48" i="5" s="1"/>
  <c r="K48" i="5" s="1"/>
  <c r="L48" i="5" s="1"/>
  <c r="M48" i="5" s="1"/>
  <c r="N48" i="5" s="1"/>
  <c r="O48" i="5" s="1"/>
  <c r="P48" i="5" s="1"/>
  <c r="F6" i="5"/>
  <c r="E42" i="4"/>
  <c r="F42" i="4" s="1"/>
  <c r="G42" i="4" s="1"/>
  <c r="H42" i="4" s="1"/>
  <c r="I42" i="4" s="1"/>
  <c r="J42" i="4" s="1"/>
  <c r="K42" i="4" s="1"/>
  <c r="L42" i="4" s="1"/>
  <c r="M42" i="4" s="1"/>
  <c r="N42" i="4" s="1"/>
  <c r="O42" i="4" s="1"/>
  <c r="G31" i="4"/>
  <c r="H31" i="4" s="1"/>
  <c r="I31" i="4" s="1"/>
  <c r="J31" i="4" s="1"/>
  <c r="K31" i="4" s="1"/>
  <c r="L31" i="4" s="1"/>
  <c r="M31" i="4" s="1"/>
  <c r="N31" i="4" s="1"/>
  <c r="O31" i="4" s="1"/>
  <c r="G27" i="4"/>
  <c r="H27" i="4" s="1"/>
  <c r="I27" i="4" s="1"/>
  <c r="J27" i="4" s="1"/>
  <c r="K27" i="4" s="1"/>
  <c r="L27" i="4" s="1"/>
  <c r="M27" i="4" s="1"/>
  <c r="N27" i="4" s="1"/>
  <c r="O27" i="4" s="1"/>
  <c r="G33" i="4"/>
  <c r="H33" i="4" s="1"/>
  <c r="I33" i="4" s="1"/>
  <c r="J33" i="4" s="1"/>
  <c r="K33" i="4" s="1"/>
  <c r="L33" i="4" s="1"/>
  <c r="M33" i="4" s="1"/>
  <c r="N33" i="4" s="1"/>
  <c r="O33" i="4" s="1"/>
  <c r="G35" i="4"/>
  <c r="H35" i="4" s="1"/>
  <c r="I35" i="4" s="1"/>
  <c r="J35" i="4" s="1"/>
  <c r="K35" i="4" s="1"/>
  <c r="L35" i="4" s="1"/>
  <c r="M35" i="4" s="1"/>
  <c r="N35" i="4" s="1"/>
  <c r="O35" i="4" s="1"/>
  <c r="J28" i="4"/>
  <c r="K28" i="4" s="1"/>
  <c r="L28" i="4" s="1"/>
  <c r="M28" i="4" s="1"/>
  <c r="N28" i="4" s="1"/>
  <c r="O28" i="4" s="1"/>
  <c r="J30" i="4"/>
  <c r="K30" i="4" s="1"/>
  <c r="L30" i="4" s="1"/>
  <c r="M30" i="4" s="1"/>
  <c r="N30" i="4" s="1"/>
  <c r="O30" i="4" s="1"/>
  <c r="P30" i="4" s="1"/>
  <c r="Q30" i="4" s="1"/>
  <c r="R30" i="4" s="1"/>
  <c r="S30" i="4" s="1"/>
  <c r="T30" i="4" s="1"/>
  <c r="J32" i="4"/>
  <c r="K32" i="4" s="1"/>
  <c r="L32" i="4" s="1"/>
  <c r="M32" i="4" s="1"/>
  <c r="N32" i="4" s="1"/>
  <c r="O32" i="4" s="1"/>
  <c r="G29" i="4"/>
  <c r="H29" i="4" s="1"/>
  <c r="I29" i="4" s="1"/>
  <c r="J29" i="4" s="1"/>
  <c r="K29" i="4" s="1"/>
  <c r="L29" i="4" s="1"/>
  <c r="M29" i="4" s="1"/>
  <c r="N29" i="4" s="1"/>
  <c r="O29" i="4" s="1"/>
  <c r="P34" i="4"/>
  <c r="Q34" i="4" s="1"/>
  <c r="R34" i="4" s="1"/>
  <c r="S34" i="4" s="1"/>
  <c r="T34" i="4" s="1"/>
  <c r="G12" i="5"/>
  <c r="E8" i="5"/>
  <c r="E5" i="5" s="1"/>
  <c r="D6" i="4" s="1"/>
  <c r="R48" i="5" l="1"/>
  <c r="H61" i="5"/>
  <c r="G21" i="5"/>
  <c r="H59" i="5"/>
  <c r="I59" i="5" s="1"/>
  <c r="J59" i="5" s="1"/>
  <c r="K59" i="5" s="1"/>
  <c r="L59" i="5" s="1"/>
  <c r="M59" i="5" s="1"/>
  <c r="N59" i="5" s="1"/>
  <c r="O59" i="5" s="1"/>
  <c r="P59" i="5" s="1"/>
  <c r="R59" i="5" s="1"/>
  <c r="I11" i="5"/>
  <c r="G19" i="5"/>
  <c r="F18" i="5"/>
  <c r="E9" i="4" s="1"/>
  <c r="J16" i="5"/>
  <c r="I15" i="5"/>
  <c r="H8" i="4" s="1"/>
  <c r="F10" i="5"/>
  <c r="E7" i="4" s="1"/>
  <c r="G10" i="5"/>
  <c r="F7" i="4" s="1"/>
  <c r="H13" i="5"/>
  <c r="P32" i="4"/>
  <c r="Q32" i="4" s="1"/>
  <c r="R32" i="4" s="1"/>
  <c r="S32" i="4" s="1"/>
  <c r="T32" i="4" s="1"/>
  <c r="R20" i="5"/>
  <c r="G6" i="5"/>
  <c r="K46" i="5"/>
  <c r="P33" i="4"/>
  <c r="Q33" i="4" s="1"/>
  <c r="R33" i="4" s="1"/>
  <c r="S33" i="4" s="1"/>
  <c r="T33" i="4" s="1"/>
  <c r="P42" i="4"/>
  <c r="Q42" i="4" s="1"/>
  <c r="R42" i="4" s="1"/>
  <c r="S42" i="4" s="1"/>
  <c r="T42" i="4" s="1"/>
  <c r="P27" i="4"/>
  <c r="P29" i="4"/>
  <c r="P28" i="4"/>
  <c r="P35" i="4"/>
  <c r="Q35" i="4" s="1"/>
  <c r="R35" i="4" s="1"/>
  <c r="S35" i="4" s="1"/>
  <c r="T35" i="4" s="1"/>
  <c r="P31" i="4"/>
  <c r="Q31" i="4" s="1"/>
  <c r="R31" i="4" s="1"/>
  <c r="S31" i="4" s="1"/>
  <c r="T31" i="4" s="1"/>
  <c r="H12" i="5"/>
  <c r="F8" i="5"/>
  <c r="G8" i="5" s="1"/>
  <c r="H8" i="5" s="1"/>
  <c r="I8" i="5" s="1"/>
  <c r="J8" i="5" s="1"/>
  <c r="K8" i="5" s="1"/>
  <c r="L8" i="5" s="1"/>
  <c r="M8" i="5" s="1"/>
  <c r="N8" i="5" s="1"/>
  <c r="O8" i="5" s="1"/>
  <c r="P8" i="5" s="1"/>
  <c r="H21" i="5" l="1"/>
  <c r="I61" i="5"/>
  <c r="H11" i="5"/>
  <c r="H10" i="5" s="1"/>
  <c r="G5" i="5"/>
  <c r="F6" i="4" s="1"/>
  <c r="K16" i="5"/>
  <c r="J15" i="5"/>
  <c r="I8" i="4" s="1"/>
  <c r="H19" i="5"/>
  <c r="G18" i="5"/>
  <c r="F9" i="4" s="1"/>
  <c r="F5" i="5"/>
  <c r="E6" i="4" s="1"/>
  <c r="I13" i="5"/>
  <c r="J11" i="5"/>
  <c r="H6" i="5"/>
  <c r="H5" i="5" s="1"/>
  <c r="G6" i="4" s="1"/>
  <c r="L46" i="5"/>
  <c r="I12" i="5"/>
  <c r="R8" i="5"/>
  <c r="J61" i="5" l="1"/>
  <c r="I21" i="5"/>
  <c r="I10" i="5"/>
  <c r="H7" i="4" s="1"/>
  <c r="D7" i="4"/>
  <c r="G7" i="4"/>
  <c r="L16" i="5"/>
  <c r="K15" i="5"/>
  <c r="J8" i="4" s="1"/>
  <c r="I19" i="5"/>
  <c r="H18" i="5"/>
  <c r="G9" i="4" s="1"/>
  <c r="K11" i="5"/>
  <c r="J13" i="5"/>
  <c r="I6" i="5"/>
  <c r="I5" i="5" s="1"/>
  <c r="H6" i="4" s="1"/>
  <c r="M46" i="5"/>
  <c r="J12" i="5"/>
  <c r="K61" i="5" l="1"/>
  <c r="J21" i="5"/>
  <c r="J10" i="5"/>
  <c r="I7" i="4" s="1"/>
  <c r="J19" i="5"/>
  <c r="I18" i="5"/>
  <c r="H9" i="4" s="1"/>
  <c r="M16" i="5"/>
  <c r="L15" i="5"/>
  <c r="K8" i="4" s="1"/>
  <c r="L11" i="5"/>
  <c r="K13" i="5"/>
  <c r="J6" i="5"/>
  <c r="J5" i="5" s="1"/>
  <c r="I6" i="4" s="1"/>
  <c r="N46" i="5"/>
  <c r="K12" i="5"/>
  <c r="L61" i="5" l="1"/>
  <c r="K21" i="5"/>
  <c r="K10" i="5"/>
  <c r="J7" i="4" s="1"/>
  <c r="K19" i="5"/>
  <c r="J18" i="5"/>
  <c r="I9" i="4" s="1"/>
  <c r="N16" i="5"/>
  <c r="M15" i="5"/>
  <c r="L8" i="4" s="1"/>
  <c r="M11" i="5"/>
  <c r="L13" i="5"/>
  <c r="K6" i="5"/>
  <c r="K5" i="5" s="1"/>
  <c r="J6" i="4" s="1"/>
  <c r="O46" i="5"/>
  <c r="L12" i="5"/>
  <c r="Q28" i="4"/>
  <c r="R28" i="4" s="1"/>
  <c r="S28" i="4" s="1"/>
  <c r="T28" i="4" s="1"/>
  <c r="Q29" i="4"/>
  <c r="R29" i="4" s="1"/>
  <c r="S29" i="4" s="1"/>
  <c r="T29" i="4" s="1"/>
  <c r="Q27" i="4"/>
  <c r="R27" i="4" s="1"/>
  <c r="S27" i="4" s="1"/>
  <c r="T27" i="4" s="1"/>
  <c r="M61" i="5" l="1"/>
  <c r="L21" i="5"/>
  <c r="L10" i="5"/>
  <c r="K7" i="4" s="1"/>
  <c r="O16" i="5"/>
  <c r="N15" i="5"/>
  <c r="M8" i="4" s="1"/>
  <c r="L19" i="5"/>
  <c r="K18" i="5"/>
  <c r="J9" i="4" s="1"/>
  <c r="N11" i="5"/>
  <c r="M13" i="5"/>
  <c r="L6" i="5"/>
  <c r="L5" i="5" s="1"/>
  <c r="K6" i="4" s="1"/>
  <c r="P46" i="5"/>
  <c r="R46" i="5" s="1"/>
  <c r="M12" i="5"/>
  <c r="M21" i="5" l="1"/>
  <c r="N61" i="5"/>
  <c r="M10" i="5"/>
  <c r="L7" i="4" s="1"/>
  <c r="M19" i="5"/>
  <c r="L18" i="5"/>
  <c r="K9" i="4" s="1"/>
  <c r="O11" i="5"/>
  <c r="P16" i="5"/>
  <c r="O15" i="5"/>
  <c r="N8" i="4" s="1"/>
  <c r="N13" i="5"/>
  <c r="M6" i="5"/>
  <c r="M5" i="5" s="1"/>
  <c r="L6" i="4" s="1"/>
  <c r="N12" i="5"/>
  <c r="D11" i="4"/>
  <c r="D14" i="4" s="1"/>
  <c r="F11" i="4"/>
  <c r="E11" i="4"/>
  <c r="G11" i="4"/>
  <c r="O61" i="5" l="1"/>
  <c r="N21" i="5"/>
  <c r="N10" i="5"/>
  <c r="M7" i="4" s="1"/>
  <c r="P15" i="5"/>
  <c r="O8" i="4" s="1"/>
  <c r="P8" i="4" s="1"/>
  <c r="Q8" i="4" s="1"/>
  <c r="R8" i="4" s="1"/>
  <c r="S8" i="4" s="1"/>
  <c r="T8" i="4" s="1"/>
  <c r="R16" i="5"/>
  <c r="R15" i="5" s="1"/>
  <c r="P11" i="5"/>
  <c r="N19" i="5"/>
  <c r="M18" i="5"/>
  <c r="L9" i="4" s="1"/>
  <c r="O13" i="5"/>
  <c r="N6" i="5"/>
  <c r="N5" i="5" s="1"/>
  <c r="M6" i="4" s="1"/>
  <c r="D17" i="4"/>
  <c r="D16" i="4"/>
  <c r="D15" i="4"/>
  <c r="O12" i="5"/>
  <c r="H11" i="4"/>
  <c r="I11" i="4"/>
  <c r="P61" i="5" l="1"/>
  <c r="O21" i="5"/>
  <c r="O10" i="5"/>
  <c r="N7" i="4" s="1"/>
  <c r="O19" i="5"/>
  <c r="N18" i="5"/>
  <c r="M9" i="4" s="1"/>
  <c r="R11" i="5"/>
  <c r="P13" i="5"/>
  <c r="R13" i="5" s="1"/>
  <c r="O6" i="5"/>
  <c r="O5" i="5" s="1"/>
  <c r="N6" i="4" s="1"/>
  <c r="E15" i="4"/>
  <c r="F15" i="4" s="1"/>
  <c r="G15" i="4" s="1"/>
  <c r="H15" i="4" s="1"/>
  <c r="I15" i="4" s="1"/>
  <c r="J15" i="4" s="1"/>
  <c r="K15" i="4" s="1"/>
  <c r="L15" i="4" s="1"/>
  <c r="M15" i="4" s="1"/>
  <c r="N15" i="4" s="1"/>
  <c r="O15" i="4" s="1"/>
  <c r="E16" i="4"/>
  <c r="F16" i="4" s="1"/>
  <c r="G16" i="4" s="1"/>
  <c r="H16" i="4" s="1"/>
  <c r="I16" i="4" s="1"/>
  <c r="J16" i="4" s="1"/>
  <c r="K16" i="4" s="1"/>
  <c r="L16" i="4" s="1"/>
  <c r="M16" i="4" s="1"/>
  <c r="N16" i="4" s="1"/>
  <c r="O16" i="4" s="1"/>
  <c r="E17" i="4"/>
  <c r="F17" i="4" s="1"/>
  <c r="G17" i="4" s="1"/>
  <c r="H17" i="4" s="1"/>
  <c r="I17" i="4" s="1"/>
  <c r="J17" i="4" s="1"/>
  <c r="K17" i="4" s="1"/>
  <c r="L17" i="4" s="1"/>
  <c r="M17" i="4" s="1"/>
  <c r="N17" i="4" s="1"/>
  <c r="O17" i="4" s="1"/>
  <c r="E14" i="4"/>
  <c r="F14" i="4" s="1"/>
  <c r="G14" i="4" s="1"/>
  <c r="H14" i="4" s="1"/>
  <c r="I14" i="4" s="1"/>
  <c r="J14" i="4" s="1"/>
  <c r="K14" i="4" s="1"/>
  <c r="L14" i="4" s="1"/>
  <c r="M14" i="4" s="1"/>
  <c r="N14" i="4" s="1"/>
  <c r="O14" i="4" s="1"/>
  <c r="D19" i="4"/>
  <c r="D21" i="4" s="1"/>
  <c r="J11" i="4"/>
  <c r="P21" i="5" l="1"/>
  <c r="R21" i="5" s="1"/>
  <c r="R61" i="5"/>
  <c r="P19" i="5"/>
  <c r="O18" i="5"/>
  <c r="N9" i="4" s="1"/>
  <c r="P12" i="5"/>
  <c r="P10" i="5" s="1"/>
  <c r="O7" i="4" s="1"/>
  <c r="P7" i="4" s="1"/>
  <c r="Q7" i="4" s="1"/>
  <c r="R7" i="4" s="1"/>
  <c r="S7" i="4" s="1"/>
  <c r="T7" i="4" s="1"/>
  <c r="P6" i="5"/>
  <c r="P5" i="5" s="1"/>
  <c r="O6" i="4" s="1"/>
  <c r="P16" i="4"/>
  <c r="P15" i="4"/>
  <c r="Q15" i="4" s="1"/>
  <c r="R15" i="4" s="1"/>
  <c r="S15" i="4" s="1"/>
  <c r="T15" i="4" s="1"/>
  <c r="P17" i="4"/>
  <c r="K11" i="4"/>
  <c r="F19" i="4"/>
  <c r="G19" i="4"/>
  <c r="H19" i="4"/>
  <c r="E19" i="4"/>
  <c r="I19" i="4"/>
  <c r="P18" i="5" l="1"/>
  <c r="O9" i="4" s="1"/>
  <c r="P9" i="4" s="1"/>
  <c r="Q9" i="4" s="1"/>
  <c r="R9" i="4" s="1"/>
  <c r="S9" i="4" s="1"/>
  <c r="T9" i="4" s="1"/>
  <c r="R19" i="5"/>
  <c r="R18" i="5" s="1"/>
  <c r="R12" i="5"/>
  <c r="R10" i="5" s="1"/>
  <c r="R6" i="5"/>
  <c r="R5" i="5" s="1"/>
  <c r="J19" i="4"/>
  <c r="J21" i="4" s="1"/>
  <c r="L11" i="4"/>
  <c r="K19" i="4"/>
  <c r="K21" i="4" s="1"/>
  <c r="I21" i="4"/>
  <c r="H21" i="4"/>
  <c r="E21" i="4"/>
  <c r="F21" i="4"/>
  <c r="G21" i="4"/>
  <c r="J70" i="5" l="1"/>
  <c r="E79" i="5" s="1"/>
  <c r="M11" i="4"/>
  <c r="D36" i="4" l="1"/>
  <c r="E78" i="5"/>
  <c r="D25" i="4" s="1"/>
  <c r="L19" i="4"/>
  <c r="L21" i="4" s="1"/>
  <c r="O11" i="4" l="1"/>
  <c r="M19" i="4"/>
  <c r="M21" i="4" s="1"/>
  <c r="N11" i="4"/>
  <c r="E73" i="5" l="1"/>
  <c r="D24" i="4"/>
  <c r="E24" i="4" s="1"/>
  <c r="F24" i="4" s="1"/>
  <c r="G24" i="4" s="1"/>
  <c r="H24" i="4" s="1"/>
  <c r="I24" i="4" s="1"/>
  <c r="J24" i="4" s="1"/>
  <c r="K24" i="4" s="1"/>
  <c r="L24" i="4" s="1"/>
  <c r="D26" i="4"/>
  <c r="E74" i="5"/>
  <c r="E72" i="5"/>
  <c r="E71" i="5"/>
  <c r="O19" i="4"/>
  <c r="O21" i="4" s="1"/>
  <c r="P6" i="4"/>
  <c r="P11" i="4" s="1"/>
  <c r="P14" i="4"/>
  <c r="P19" i="4" s="1"/>
  <c r="E25" i="4" l="1"/>
  <c r="D38" i="4"/>
  <c r="D40" i="4" s="1"/>
  <c r="E26" i="4"/>
  <c r="F26" i="4" s="1"/>
  <c r="G26" i="4" s="1"/>
  <c r="H26" i="4" s="1"/>
  <c r="I26" i="4" s="1"/>
  <c r="J26" i="4" s="1"/>
  <c r="K26" i="4" s="1"/>
  <c r="L26" i="4" s="1"/>
  <c r="M26" i="4" s="1"/>
  <c r="N26" i="4" s="1"/>
  <c r="O26" i="4" s="1"/>
  <c r="P26" i="4" s="1"/>
  <c r="Q26" i="4" s="1"/>
  <c r="R26" i="4" s="1"/>
  <c r="S26" i="4" s="1"/>
  <c r="T26" i="4" s="1"/>
  <c r="E36" i="4"/>
  <c r="F36" i="4" s="1"/>
  <c r="G36" i="4" s="1"/>
  <c r="H36" i="4" s="1"/>
  <c r="I36" i="4" s="1"/>
  <c r="J36" i="4" s="1"/>
  <c r="K36" i="4" s="1"/>
  <c r="L36" i="4" s="1"/>
  <c r="M36" i="4" s="1"/>
  <c r="N36" i="4" s="1"/>
  <c r="O36" i="4" s="1"/>
  <c r="M24" i="4"/>
  <c r="Q6" i="4"/>
  <c r="R6" i="4" s="1"/>
  <c r="S6" i="4" s="1"/>
  <c r="T6" i="4" s="1"/>
  <c r="T11" i="4" s="1"/>
  <c r="T16" i="4" s="1"/>
  <c r="Q14" i="4"/>
  <c r="N19" i="4"/>
  <c r="N21" i="4" s="1"/>
  <c r="P21" i="4"/>
  <c r="D44" i="4" l="1"/>
  <c r="D46" i="4" s="1"/>
  <c r="D50" i="4" s="1"/>
  <c r="N24" i="4"/>
  <c r="F25" i="4"/>
  <c r="E38" i="4"/>
  <c r="E40" i="4" s="1"/>
  <c r="E44" i="4" s="1"/>
  <c r="P36" i="4"/>
  <c r="Q36" i="4" s="1"/>
  <c r="R36" i="4" s="1"/>
  <c r="S36" i="4" s="1"/>
  <c r="T36" i="4" s="1"/>
  <c r="S11" i="4"/>
  <c r="Q11" i="4"/>
  <c r="Q16" i="4" s="1"/>
  <c r="R11" i="4"/>
  <c r="R16" i="4" s="1"/>
  <c r="T14" i="4" l="1"/>
  <c r="T19" i="4" s="1"/>
  <c r="T21" i="4" s="1"/>
  <c r="S16" i="4"/>
  <c r="Q19" i="4"/>
  <c r="Q21" i="4" s="1"/>
  <c r="E46" i="4"/>
  <c r="E50" i="4" s="1"/>
  <c r="G25" i="4"/>
  <c r="F38" i="4"/>
  <c r="F40" i="4" s="1"/>
  <c r="F44" i="4" s="1"/>
  <c r="O24" i="4"/>
  <c r="P24" i="4" s="1"/>
  <c r="R14" i="4"/>
  <c r="S14" i="4"/>
  <c r="S19" i="4" l="1"/>
  <c r="S21" i="4" s="1"/>
  <c r="F46" i="4"/>
  <c r="F50" i="4" s="1"/>
  <c r="Q24" i="4"/>
  <c r="H25" i="4"/>
  <c r="G38" i="4"/>
  <c r="G40" i="4" s="1"/>
  <c r="G44" i="4" s="1"/>
  <c r="R19" i="4"/>
  <c r="R21" i="4" s="1"/>
  <c r="R24" i="4" l="1"/>
  <c r="S24" i="4" s="1"/>
  <c r="G46" i="4"/>
  <c r="G50" i="4" s="1"/>
  <c r="I25" i="4"/>
  <c r="H38" i="4"/>
  <c r="H40" i="4" s="1"/>
  <c r="H44" i="4" s="1"/>
  <c r="H46" i="4" l="1"/>
  <c r="H50" i="4" s="1"/>
  <c r="J25" i="4"/>
  <c r="I38" i="4"/>
  <c r="I40" i="4" s="1"/>
  <c r="I44" i="4" s="1"/>
  <c r="T24" i="4"/>
  <c r="I46" i="4" l="1"/>
  <c r="I50" i="4" s="1"/>
  <c r="K25" i="4"/>
  <c r="J38" i="4"/>
  <c r="J40" i="4" s="1"/>
  <c r="J44" i="4" s="1"/>
  <c r="J46" i="4" l="1"/>
  <c r="J50" i="4" s="1"/>
  <c r="L25" i="4"/>
  <c r="K38" i="4"/>
  <c r="K40" i="4" s="1"/>
  <c r="K44" i="4" s="1"/>
  <c r="K46" i="4" l="1"/>
  <c r="K50" i="4" s="1"/>
  <c r="M25" i="4"/>
  <c r="L38" i="4"/>
  <c r="L40" i="4" s="1"/>
  <c r="L44" i="4" s="1"/>
  <c r="L46" i="4" l="1"/>
  <c r="L50" i="4" s="1"/>
  <c r="N25" i="4"/>
  <c r="M38" i="4"/>
  <c r="M40" i="4" s="1"/>
  <c r="M44" i="4" s="1"/>
  <c r="M46" i="4" l="1"/>
  <c r="M50" i="4" s="1"/>
  <c r="O25" i="4"/>
  <c r="N38" i="4"/>
  <c r="N40" i="4" s="1"/>
  <c r="N44" i="4" s="1"/>
  <c r="N46" i="4" l="1"/>
  <c r="N50" i="4" s="1"/>
  <c r="O38" i="4"/>
  <c r="O40" i="4" s="1"/>
  <c r="O44" i="4" s="1"/>
  <c r="P25" i="4"/>
  <c r="P38" i="4" s="1"/>
  <c r="O46" i="4" l="1"/>
  <c r="O50" i="4" s="1"/>
  <c r="Q25" i="4"/>
  <c r="P40" i="4"/>
  <c r="P44" i="4" s="1"/>
  <c r="P46" i="4" s="1"/>
  <c r="Q38" i="4" l="1"/>
  <c r="R25" i="4"/>
  <c r="R38" i="4" s="1"/>
  <c r="R40" i="4" s="1"/>
  <c r="R44" i="4" s="1"/>
  <c r="P50" i="4"/>
  <c r="P52" i="4" s="1"/>
  <c r="Q40" i="4" l="1"/>
  <c r="S25" i="4"/>
  <c r="S38" i="4" s="1"/>
  <c r="S40" i="4" s="1"/>
  <c r="S44" i="4" s="1"/>
  <c r="Q46" i="4" l="1"/>
  <c r="Q50" i="4" s="1"/>
  <c r="Q52" i="4" s="1"/>
  <c r="Q44" i="4"/>
  <c r="T25" i="4"/>
  <c r="R46" i="4" l="1"/>
  <c r="R50" i="4" s="1"/>
  <c r="R52" i="4" s="1"/>
  <c r="T38" i="4"/>
  <c r="S46" i="4" l="1"/>
  <c r="S50" i="4" s="1"/>
  <c r="S52" i="4" s="1"/>
  <c r="T40" i="4"/>
  <c r="T46" i="4" l="1"/>
  <c r="T50" i="4" s="1"/>
  <c r="T52" i="4" s="1"/>
  <c r="T44" i="4"/>
</calcChain>
</file>

<file path=xl/sharedStrings.xml><?xml version="1.0" encoding="utf-8"?>
<sst xmlns="http://schemas.openxmlformats.org/spreadsheetml/2006/main" count="196" uniqueCount="127">
  <si>
    <t>May</t>
  </si>
  <si>
    <t>NGN</t>
  </si>
  <si>
    <t>Revenue</t>
  </si>
  <si>
    <t>Total Revenue</t>
  </si>
  <si>
    <t>Cost of Revenue</t>
  </si>
  <si>
    <t>Operating expenses</t>
  </si>
  <si>
    <t>EBITDA</t>
  </si>
  <si>
    <t>Live_Case</t>
  </si>
  <si>
    <t>Average  no of Patient</t>
  </si>
  <si>
    <t>Average case - Price</t>
  </si>
  <si>
    <t>Gross Profit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</si>
  <si>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</si>
  <si>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</si>
  <si>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</si>
  <si>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</si>
  <si>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</si>
  <si>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</si>
  <si>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</si>
  <si>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</si>
  <si>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</si>
  <si>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</si>
  <si>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</si>
  <si>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Electricity</t>
  </si>
  <si>
    <t>Internet</t>
  </si>
  <si>
    <t>Bank Charges</t>
  </si>
  <si>
    <t>Repair&amp;Maintenance</t>
  </si>
  <si>
    <t>Operating Expenses</t>
  </si>
  <si>
    <t>% of Rev</t>
  </si>
  <si>
    <t>Price Inflation</t>
  </si>
  <si>
    <t>Cost Inflation</t>
  </si>
  <si>
    <t>Total Opex</t>
  </si>
  <si>
    <t>Revenue Growth rate</t>
  </si>
  <si>
    <t>Accumulated EBITDA</t>
  </si>
  <si>
    <t>Total Investment</t>
  </si>
  <si>
    <t>Pay back Balance</t>
  </si>
  <si>
    <t>Pay back Period</t>
  </si>
  <si>
    <t>Total Direct Cost</t>
  </si>
  <si>
    <t>FY 1</t>
  </si>
  <si>
    <t>Fuel for Gen</t>
  </si>
  <si>
    <t>Cleaning Services</t>
  </si>
  <si>
    <t>FY 2</t>
  </si>
  <si>
    <t>FY 3</t>
  </si>
  <si>
    <t>FY 4</t>
  </si>
  <si>
    <t>FY 5</t>
  </si>
  <si>
    <t>Computations-Outputs</t>
  </si>
  <si>
    <t>Assumptions-Inputs</t>
  </si>
  <si>
    <t>Other Inputs</t>
  </si>
  <si>
    <t>Average price spent per person</t>
  </si>
  <si>
    <t>Rent</t>
  </si>
  <si>
    <t>Direct Cost - Staff</t>
  </si>
  <si>
    <t>Direct Cost - Overheads &amp; Others</t>
  </si>
  <si>
    <t>Total Projected Revenue</t>
  </si>
  <si>
    <t>% of Revenue</t>
  </si>
  <si>
    <t>Direct Cost - Sales Commission</t>
  </si>
  <si>
    <t>Advert, Printing &amp; Stationery</t>
  </si>
  <si>
    <t>Local Govt Levies &amp; Charges</t>
  </si>
  <si>
    <t>Insurance Expenses</t>
  </si>
  <si>
    <t>Depreciation Expenses</t>
  </si>
  <si>
    <r>
      <t>Net Profit/</t>
    </r>
    <r>
      <rPr>
        <b/>
        <sz val="12"/>
        <color rgb="FFFF0000"/>
        <rFont val="Aptos Display"/>
        <family val="2"/>
      </rPr>
      <t>(Loss)</t>
    </r>
  </si>
  <si>
    <t>Clinic</t>
  </si>
  <si>
    <t>Emergency Ground Ambulance /Evacuation Services</t>
  </si>
  <si>
    <t>Healthcare Consulting:</t>
  </si>
  <si>
    <t>Workplace Solutions</t>
  </si>
  <si>
    <t>Medical Staffing (rate per Dr)</t>
  </si>
  <si>
    <t>Onsite Healthcare Review &amp; Consulting</t>
  </si>
  <si>
    <t>Public Health Solutions &amp; Preventative Care Programs</t>
  </si>
  <si>
    <t>Health Education &amp; Preventive Care Programs</t>
  </si>
  <si>
    <t>Global Assistance Service:</t>
  </si>
  <si>
    <t>MER Plans</t>
  </si>
  <si>
    <t>Medevac Services (Air Ambulance)</t>
  </si>
  <si>
    <t>Annual Subscription for 24/7 Assistance Services (Telemedicine/ Virtual Consultations, Diagnosis and Treatment Plans)</t>
  </si>
  <si>
    <r>
      <t>Rate (</t>
    </r>
    <r>
      <rPr>
        <sz val="12"/>
        <color theme="1"/>
        <rFont val="Aptos Narrow"/>
        <family val="2"/>
      </rPr>
      <t>₦</t>
    </r>
    <r>
      <rPr>
        <sz val="11.4"/>
        <color theme="1"/>
        <rFont val="Aptos Display"/>
        <family val="2"/>
      </rPr>
      <t>)</t>
    </r>
  </si>
  <si>
    <t>Total</t>
  </si>
  <si>
    <t>Healthcare Consulting</t>
  </si>
  <si>
    <t>Global Assistance Service</t>
  </si>
  <si>
    <t>Contribution</t>
  </si>
  <si>
    <t>Indirect Staff Cost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</si>
  <si>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</si>
  <si>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</si>
  <si>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</si>
  <si>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</si>
  <si>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</si>
  <si>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</si>
  <si>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</si>
  <si>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</si>
  <si>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</si>
  <si>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</si>
  <si>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</si>
  <si>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₦</t>
  </si>
  <si>
    <t>Indirect staff Cost</t>
  </si>
  <si>
    <t>COO</t>
  </si>
  <si>
    <t xml:space="preserve">pro-rated based on </t>
  </si>
  <si>
    <t>Lead Accountant</t>
  </si>
  <si>
    <t>Emergency Ground Ambulance /Evacuation Services per case</t>
  </si>
  <si>
    <t xml:space="preserve">Annual Subscription for 24/7 Assistance Services (Local and international Telemedicine/ Virtual Consultations, Hospital referrals, Emergency care, Diagnosis and Treatment Plans) per staff </t>
  </si>
  <si>
    <t>Medevac Ambulance (Air Ambulance</t>
  </si>
  <si>
    <t>Direct Cost  of Sale</t>
  </si>
  <si>
    <t>PRIMARY CARE - Clinic Access Subscription -  MEDVAC + Assistance Centre</t>
  </si>
  <si>
    <t>PREMIUM - Clinic Access Subscription - MedLyfe (Wellness) + MEDVAC + Assistance Centre</t>
  </si>
  <si>
    <t>CAPEX</t>
  </si>
  <si>
    <t>CAPEX LIST</t>
  </si>
  <si>
    <t>Software</t>
  </si>
  <si>
    <t>Telecoms Provider Subscription</t>
  </si>
  <si>
    <t>Telephones</t>
  </si>
  <si>
    <t>Computers</t>
  </si>
  <si>
    <t>Multi-media Screens</t>
  </si>
  <si>
    <t>CLINIC SET-UP</t>
  </si>
  <si>
    <t>CALL CENTRE SET-UP</t>
  </si>
  <si>
    <t>Medical Equipment</t>
  </si>
  <si>
    <t>Medical Instrutment</t>
  </si>
  <si>
    <t>Furniture</t>
  </si>
  <si>
    <t>AMBULANCE</t>
  </si>
  <si>
    <t>Ambulance Vehicle</t>
  </si>
  <si>
    <t>Ambulance Emergency Kits Installation</t>
  </si>
  <si>
    <t>Emergence Equipment</t>
  </si>
  <si>
    <t>EMERGENCY (A &amp; E/HDU)</t>
  </si>
  <si>
    <t>Triage Area Set-up</t>
  </si>
  <si>
    <t>Resuscitation Equipment</t>
  </si>
  <si>
    <t>Oxygen Supply</t>
  </si>
  <si>
    <t>Monitors</t>
  </si>
  <si>
    <t>Equipment for Minor Procedures</t>
  </si>
  <si>
    <t>Procedure Area Set-up</t>
  </si>
  <si>
    <t>Doctors' Consultation Room Set-up</t>
  </si>
  <si>
    <t>Nurses Station Set-up</t>
  </si>
  <si>
    <t>Ambulance Park Area Set-up</t>
  </si>
  <si>
    <t>EUR</t>
  </si>
  <si>
    <t>Direct Cost -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</si>
</sst>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0.0%"/>
    <numFmt numFmtId="167" formatCode="#,##0;[Red]\(#,##0\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2"/>
      <color theme="3"/>
      <name val="Aptos Display"/>
      <family val="2"/>
    </font>
    <font>
      <sz val="12"/>
      <color theme="1"/>
      <name val="Aptos Display"/>
      <family val="2"/>
    </font>
    <font>
      <b/>
      <sz val="12"/>
      <color theme="1"/>
      <name val="Aptos Display"/>
      <family val="2"/>
    </font>
    <font>
      <sz val="11"/>
      <color theme="1"/>
      <name val="Trebuchet MS"/>
      <family val="2"/>
    </font>
    <font>
      <b/>
      <sz val="12"/>
      <color rgb="FFFF0000"/>
      <name val="Aptos Display"/>
      <family val="2"/>
    </font>
    <font>
      <sz val="12"/>
      <color theme="1"/>
      <name val="Aptos Narrow"/>
      <family val="2"/>
    </font>
    <font>
      <sz val="11.4"/>
      <color theme="1"/>
      <name val="Aptos Display"/>
      <family val="2"/>
    </font>
    <font>
      <b/>
      <sz val="12"/>
      <color theme="1"/>
      <name val="Aptos Display"/>
      <family val="2"/>
    </font>
    <font>
      <b/>
      <sz val="16"/>
      <color theme="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60">
    <xf numFmtId="0" fontId="0" fillId="0" borderId="0" xfId="0"/>
    <xf numFmtId="0" fontId="6" fillId="0" borderId="1" xfId="3" applyFont="1" applyAlignment="1">
      <alignment horizontal="left" vertical="center"/>
    </xf>
    <xf numFmtId="0" fontId="6" fillId="0" borderId="1" xfId="3" applyFont="1" applyAlignment="1">
      <alignment vertical="center"/>
    </xf>
    <xf numFmtId="0" fontId="6" fillId="0" borderId="1" xfId="3" applyFont="1" applyAlignment="1">
      <alignment horizontal="center" vertical="center"/>
    </xf>
    <xf numFmtId="164" fontId="6" fillId="0" borderId="1" xfId="3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2" xfId="4" applyFont="1" applyAlignment="1">
      <alignment horizontal="center" vertical="center"/>
    </xf>
    <xf numFmtId="0" fontId="6" fillId="0" borderId="2" xfId="4" applyFont="1" applyAlignment="1">
      <alignment vertical="center"/>
    </xf>
    <xf numFmtId="17" fontId="6" fillId="0" borderId="2" xfId="4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3" xfId="5" applyFont="1" applyAlignment="1">
      <alignment vertical="center"/>
    </xf>
    <xf numFmtId="0" fontId="6" fillId="0" borderId="3" xfId="5" applyFont="1" applyAlignment="1">
      <alignment horizontal="center" vertical="center"/>
    </xf>
    <xf numFmtId="164" fontId="6" fillId="0" borderId="3" xfId="5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164" fontId="7" fillId="0" borderId="0" xfId="1" applyFont="1" applyBorder="1" applyAlignment="1">
      <alignment horizontal="center" vertical="center"/>
    </xf>
    <xf numFmtId="165" fontId="8" fillId="0" borderId="0" xfId="1" applyNumberFormat="1" applyFont="1" applyBorder="1" applyAlignment="1">
      <alignment horizontal="center" vertical="center"/>
    </xf>
    <xf numFmtId="165" fontId="7" fillId="0" borderId="0" xfId="1" applyNumberFormat="1" applyFont="1" applyBorder="1" applyAlignment="1">
      <alignment horizontal="center" vertical="center"/>
    </xf>
    <xf numFmtId="165" fontId="6" fillId="0" borderId="3" xfId="1" applyNumberFormat="1" applyFont="1" applyBorder="1" applyAlignment="1">
      <alignment vertical="center"/>
    </xf>
    <xf numFmtId="165" fontId="6" fillId="0" borderId="3" xfId="5" applyNumberFormat="1" applyFont="1" applyAlignment="1">
      <alignment horizontal="center" vertical="center"/>
    </xf>
    <xf numFmtId="0" fontId="6" fillId="0" borderId="3" xfId="5" applyFont="1" applyAlignment="1">
      <alignment horizontal="left" vertical="center"/>
    </xf>
    <xf numFmtId="165" fontId="6" fillId="0" borderId="3" xfId="1" applyNumberFormat="1" applyFont="1" applyBorder="1" applyAlignment="1">
      <alignment horizontal="left" vertical="center"/>
    </xf>
    <xf numFmtId="0" fontId="7" fillId="0" borderId="0" xfId="0" applyFont="1"/>
    <xf numFmtId="165" fontId="6" fillId="0" borderId="3" xfId="5" applyNumberFormat="1" applyFont="1" applyAlignment="1">
      <alignment vertical="center"/>
    </xf>
    <xf numFmtId="0" fontId="6" fillId="0" borderId="3" xfId="5" applyNumberFormat="1" applyFont="1" applyAlignment="1">
      <alignment vertical="center"/>
    </xf>
    <xf numFmtId="165" fontId="6" fillId="0" borderId="3" xfId="1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17" fontId="8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43" fontId="7" fillId="0" borderId="0" xfId="0" applyNumberFormat="1" applyFont="1" applyAlignment="1">
      <alignment horizontal="left" vertical="center"/>
    </xf>
    <xf numFmtId="43" fontId="8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7" fillId="0" borderId="0" xfId="1" applyNumberFormat="1" applyFont="1" applyBorder="1" applyAlignment="1">
      <alignment vertical="center"/>
    </xf>
    <xf numFmtId="43" fontId="7" fillId="0" borderId="0" xfId="0" applyNumberFormat="1" applyFont="1" applyAlignment="1">
      <alignment horizontal="center" vertical="center"/>
    </xf>
    <xf numFmtId="49" fontId="7" fillId="0" borderId="0" xfId="1" applyNumberFormat="1" applyFont="1" applyBorder="1" applyAlignment="1">
      <alignment horizontal="center" vertical="center"/>
    </xf>
    <xf numFmtId="9" fontId="7" fillId="0" borderId="0" xfId="2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165" fontId="7" fillId="0" borderId="0" xfId="2" applyNumberFormat="1" applyFont="1" applyBorder="1" applyAlignment="1">
      <alignment horizontal="center" vertical="center"/>
    </xf>
    <xf numFmtId="9" fontId="7" fillId="0" borderId="0" xfId="0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167" fontId="6" fillId="0" borderId="3" xfId="5" applyNumberFormat="1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167" fontId="7" fillId="0" borderId="0" xfId="1" applyNumberFormat="1" applyFont="1" applyBorder="1" applyAlignment="1">
      <alignment horizontal="right" vertical="center"/>
    </xf>
    <xf numFmtId="167" fontId="8" fillId="0" borderId="0" xfId="1" applyNumberFormat="1" applyFont="1" applyBorder="1" applyAlignment="1">
      <alignment horizontal="right" vertical="center"/>
    </xf>
    <xf numFmtId="167" fontId="6" fillId="0" borderId="3" xfId="1" applyNumberFormat="1" applyFont="1" applyBorder="1" applyAlignment="1">
      <alignment horizontal="right" vertical="center"/>
    </xf>
    <xf numFmtId="9" fontId="8" fillId="0" borderId="0" xfId="2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65" fontId="8" fillId="0" borderId="0" xfId="0" applyNumberFormat="1" applyFont="1" applyAlignment="1">
      <alignment horizontal="left" vertical="center"/>
    </xf>
    <xf numFmtId="167" fontId="7" fillId="0" borderId="0" xfId="1" applyNumberFormat="1" applyFont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10" fontId="7" fillId="0" borderId="0" xfId="0" applyNumberFormat="1" applyFont="1" applyAlignment="1">
      <alignment horizontal="center" vertical="center"/>
    </xf>
    <xf numFmtId="1" fontId="7" fillId="0" borderId="0" xfId="1" applyNumberFormat="1" applyFont="1" applyBorder="1" applyAlignment="1">
      <alignment vertical="center"/>
    </xf>
    <xf numFmtId="165" fontId="7" fillId="0" borderId="0" xfId="1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</cellXfs>
  <cellStyles count="6">
    <cellStyle name="Comma" xfId="1" builtinId="3"/>
    <cellStyle name="Heading 1" xfId="3" builtinId="16"/>
    <cellStyle name="Heading 2" xfId="4" builtinId="17"/>
    <cellStyle name="Heading 3" xfId="5" builtinId="1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125"/>
  <sheetViews>
    <sheetView tabSelected="1" zoomScaleNormal="100" zoomScaleSheetLayoutView="93" workbookViewId="0">
      <pane xSplit="4" ySplit="4" topLeftCell="E75" activePane="bottomRight" state="frozen"/>
      <selection activeCell="D40" sqref="D40"/>
      <selection pane="topRight" activeCell="D40" sqref="D40"/>
      <selection pane="bottomLeft" activeCell="D40" sqref="D40"/>
      <selection pane="bottomRight" activeCell="R5" sqref="R5"/>
    </sheetView>
  </sheetViews>
  <sheetFormatPr defaultColWidth="9.08984375" defaultRowHeight="16" x14ac:dyDescent="0.35"/>
  <cols>
    <col min="1" max="1" width="1" style="6" customWidth="1"/>
    <col min="2" max="2" width="53" style="27" bestFit="1" customWidth="1"/>
    <col min="3" max="3" width="11.453125" style="27" customWidth="1"/>
    <col min="4" max="4" width="8.453125" style="6" bestFit="1" customWidth="1"/>
    <col min="5" max="5" width="18.90625" style="6" bestFit="1" customWidth="1"/>
    <col min="6" max="6" width="14.36328125" style="6" customWidth="1"/>
    <col min="7" max="7" width="14.90625" style="6" bestFit="1" customWidth="1"/>
    <col min="8" max="9" width="14.36328125" style="6" bestFit="1" customWidth="1"/>
    <col min="10" max="10" width="17.54296875" style="6" bestFit="1" customWidth="1"/>
    <col min="11" max="12" width="14.36328125" style="6" bestFit="1" customWidth="1"/>
    <col min="13" max="13" width="14.08984375" style="6" bestFit="1" customWidth="1"/>
    <col min="14" max="15" width="14.36328125" style="6" bestFit="1" customWidth="1"/>
    <col min="16" max="16" width="14.08984375" style="6" bestFit="1" customWidth="1"/>
    <col min="17" max="17" width="4" style="6" customWidth="1"/>
    <col min="18" max="18" width="15.54296875" style="6" bestFit="1" customWidth="1"/>
    <col min="19" max="19" width="3.54296875" style="6" bestFit="1" customWidth="1"/>
    <col min="20" max="20" width="9.08984375" style="6"/>
    <col min="21" max="21" width="17.08984375" style="6" bestFit="1" customWidth="1"/>
    <col min="22" max="22" width="2.08984375" style="6" bestFit="1" customWidth="1"/>
    <col min="23" max="24" width="10.453125" style="6" bestFit="1" customWidth="1"/>
    <col min="25" max="16384" width="9.08984375" style="6"/>
  </cols>
  <sheetData>
    <row r="1" spans="2:18" ht="12" customHeight="1" x14ac:dyDescent="0.35">
      <c r="B1" s="10" t="s">
        <v>45</v>
      </c>
      <c r="C1" s="10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</row>
    <row r="2" spans="2:18" ht="12" customHeight="1" x14ac:dyDescent="0.35"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</row>
    <row r="3" spans="2:18" s="10" customFormat="1" x14ac:dyDescent="0.35">
      <c r="B3" s="28"/>
      <c r="C3" s="28"/>
      <c r="E3" s="30" t="s">
        <v>11</v>
      </c>
      <c r="F3" s="30" t="s">
        <v>12</v>
      </c>
      <c r="G3" s="30" t="s">
        <v>13</v>
      </c>
      <c r="H3" s="30" t="s">
        <v>14</v>
      </c>
      <c r="I3" s="30" t="s">
        <v>0</v>
      </c>
      <c r="J3" s="30" t="s">
        <v>15</v>
      </c>
      <c r="K3" s="30" t="s">
        <v>16</v>
      </c>
      <c r="L3" s="30" t="s">
        <v>17</v>
      </c>
      <c r="M3" s="30" t="s">
        <v>18</v>
      </c>
      <c r="N3" s="30" t="s">
        <v>19</v>
      </c>
      <c r="O3" s="30" t="s">
        <v>20</v>
      </c>
      <c r="P3" s="30" t="s">
        <v>21</v>
      </c>
      <c r="R3" s="10" t="s">
        <v>72</v>
      </c>
    </row>
    <row r="4" spans="2:18" s="10" customFormat="1" x14ac:dyDescent="0.35">
      <c r="B4" s="29" t="s">
        <v>7</v>
      </c>
      <c r="C4" s="29" t="s">
        <v>125</v>
      </c>
      <c r="D4" s="29" t="s">
        <v>71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</row>
    <row r="5" spans="2:18" s="10" customFormat="1" x14ac:dyDescent="0.35">
      <c r="B5" s="10" t="s">
        <v>59</v>
      </c>
      <c r="D5" s="17"/>
      <c r="E5" s="31">
        <f>SUM(E6:E8)</f>
        <v>29277750</v>
      </c>
      <c r="F5" s="31">
        <f t="shared" ref="F5:P5" si="0">SUM(F6:F8)</f>
        <v>29277750</v>
      </c>
      <c r="G5" s="31">
        <f t="shared" si="0"/>
        <v>29277750</v>
      </c>
      <c r="H5" s="31">
        <f t="shared" si="0"/>
        <v>29277750</v>
      </c>
      <c r="I5" s="31">
        <f t="shared" si="0"/>
        <v>29277750</v>
      </c>
      <c r="J5" s="31">
        <f t="shared" si="0"/>
        <v>29277750</v>
      </c>
      <c r="K5" s="31">
        <f t="shared" si="0"/>
        <v>29277750</v>
      </c>
      <c r="L5" s="31">
        <f t="shared" si="0"/>
        <v>29277750</v>
      </c>
      <c r="M5" s="31">
        <f t="shared" si="0"/>
        <v>29277750</v>
      </c>
      <c r="N5" s="31">
        <f t="shared" si="0"/>
        <v>29277750</v>
      </c>
      <c r="O5" s="31">
        <f t="shared" si="0"/>
        <v>29277750</v>
      </c>
      <c r="P5" s="31">
        <f t="shared" si="0"/>
        <v>29277750</v>
      </c>
      <c r="Q5" s="31"/>
      <c r="R5" s="16">
        <f>SUM(R6:R8)</f>
        <v>351333000</v>
      </c>
    </row>
    <row r="6" spans="2:18" ht="32" x14ac:dyDescent="0.35">
      <c r="B6" s="50" t="s">
        <v>97</v>
      </c>
      <c r="C6" s="50"/>
      <c r="D6" s="17"/>
      <c r="E6" s="17">
        <f t="shared" ref="E6:P7" si="1">E26*E46</f>
        <v>2493750</v>
      </c>
      <c r="F6" s="17">
        <f t="shared" si="1"/>
        <v>2493750</v>
      </c>
      <c r="G6" s="17">
        <f t="shared" si="1"/>
        <v>2493750</v>
      </c>
      <c r="H6" s="17">
        <f t="shared" si="1"/>
        <v>2493750</v>
      </c>
      <c r="I6" s="17">
        <f t="shared" si="1"/>
        <v>2493750</v>
      </c>
      <c r="J6" s="17">
        <f t="shared" si="1"/>
        <v>2493750</v>
      </c>
      <c r="K6" s="17">
        <f t="shared" si="1"/>
        <v>2493750</v>
      </c>
      <c r="L6" s="17">
        <f t="shared" si="1"/>
        <v>2493750</v>
      </c>
      <c r="M6" s="17">
        <f t="shared" si="1"/>
        <v>2493750</v>
      </c>
      <c r="N6" s="17">
        <f t="shared" si="1"/>
        <v>2493750</v>
      </c>
      <c r="O6" s="17">
        <f t="shared" si="1"/>
        <v>2493750</v>
      </c>
      <c r="P6" s="17">
        <f t="shared" si="1"/>
        <v>2493750</v>
      </c>
      <c r="Q6" s="5"/>
      <c r="R6" s="5">
        <f>SUM(E6:P6)</f>
        <v>29925000</v>
      </c>
    </row>
    <row r="7" spans="2:18" ht="32" x14ac:dyDescent="0.35">
      <c r="B7" s="50" t="s">
        <v>98</v>
      </c>
      <c r="C7" s="50"/>
      <c r="D7" s="17"/>
      <c r="E7" s="17">
        <f t="shared" si="1"/>
        <v>26600000</v>
      </c>
      <c r="F7" s="17">
        <f t="shared" si="1"/>
        <v>26600000</v>
      </c>
      <c r="G7" s="17">
        <f t="shared" si="1"/>
        <v>26600000</v>
      </c>
      <c r="H7" s="17">
        <f t="shared" si="1"/>
        <v>26600000</v>
      </c>
      <c r="I7" s="17">
        <f t="shared" si="1"/>
        <v>26600000</v>
      </c>
      <c r="J7" s="17">
        <f t="shared" si="1"/>
        <v>26600000</v>
      </c>
      <c r="K7" s="17">
        <f t="shared" si="1"/>
        <v>26600000</v>
      </c>
      <c r="L7" s="17">
        <f t="shared" si="1"/>
        <v>26600000</v>
      </c>
      <c r="M7" s="17">
        <f t="shared" si="1"/>
        <v>26600000</v>
      </c>
      <c r="N7" s="17">
        <f t="shared" si="1"/>
        <v>26600000</v>
      </c>
      <c r="O7" s="17">
        <f t="shared" si="1"/>
        <v>26600000</v>
      </c>
      <c r="P7" s="17">
        <f t="shared" si="1"/>
        <v>26600000</v>
      </c>
      <c r="Q7" s="17"/>
      <c r="R7" s="5">
        <f>SUM(E7:P7)</f>
        <v>319200000</v>
      </c>
    </row>
    <row r="8" spans="2:18" x14ac:dyDescent="0.35">
      <c r="B8" s="50" t="s">
        <v>60</v>
      </c>
      <c r="C8" s="50"/>
      <c r="D8" s="17"/>
      <c r="E8" s="17">
        <f>E28*E48</f>
        <v>184000</v>
      </c>
      <c r="F8" s="17">
        <f t="shared" ref="F8:P8" si="2">E8</f>
        <v>184000</v>
      </c>
      <c r="G8" s="17">
        <f t="shared" si="2"/>
        <v>184000</v>
      </c>
      <c r="H8" s="17">
        <f t="shared" si="2"/>
        <v>184000</v>
      </c>
      <c r="I8" s="17">
        <f t="shared" si="2"/>
        <v>184000</v>
      </c>
      <c r="J8" s="17">
        <f t="shared" si="2"/>
        <v>184000</v>
      </c>
      <c r="K8" s="17">
        <f t="shared" si="2"/>
        <v>184000</v>
      </c>
      <c r="L8" s="17">
        <f t="shared" si="2"/>
        <v>184000</v>
      </c>
      <c r="M8" s="17">
        <f t="shared" si="2"/>
        <v>184000</v>
      </c>
      <c r="N8" s="17">
        <f t="shared" si="2"/>
        <v>184000</v>
      </c>
      <c r="O8" s="17">
        <f t="shared" si="2"/>
        <v>184000</v>
      </c>
      <c r="P8" s="17">
        <f t="shared" si="2"/>
        <v>184000</v>
      </c>
      <c r="Q8" s="5"/>
      <c r="R8" s="5">
        <f>SUM(E8:P8)</f>
        <v>2208000</v>
      </c>
    </row>
    <row r="9" spans="2:18" x14ac:dyDescent="0.35">
      <c r="B9" s="50"/>
      <c r="C9" s="50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5"/>
      <c r="R9" s="31"/>
    </row>
    <row r="10" spans="2:18" hidden="1" x14ac:dyDescent="0.35">
      <c r="B10" s="33" t="s">
        <v>73</v>
      </c>
      <c r="C10" s="50"/>
      <c r="D10" s="17"/>
      <c r="E10" s="16">
        <f>SUM(E11:E13)</f>
        <v>0</v>
      </c>
      <c r="F10" s="16">
        <f t="shared" ref="F10:P10" si="3">SUM(F11:F13)</f>
        <v>0</v>
      </c>
      <c r="G10" s="16">
        <f t="shared" si="3"/>
        <v>0</v>
      </c>
      <c r="H10" s="16">
        <f t="shared" si="3"/>
        <v>0</v>
      </c>
      <c r="I10" s="16">
        <f t="shared" si="3"/>
        <v>0</v>
      </c>
      <c r="J10" s="16">
        <f t="shared" si="3"/>
        <v>0</v>
      </c>
      <c r="K10" s="16">
        <f t="shared" si="3"/>
        <v>0</v>
      </c>
      <c r="L10" s="16">
        <f t="shared" si="3"/>
        <v>0</v>
      </c>
      <c r="M10" s="16">
        <f t="shared" si="3"/>
        <v>0</v>
      </c>
      <c r="N10" s="16">
        <f t="shared" si="3"/>
        <v>0</v>
      </c>
      <c r="O10" s="16">
        <f t="shared" si="3"/>
        <v>0</v>
      </c>
      <c r="P10" s="16">
        <f t="shared" si="3"/>
        <v>0</v>
      </c>
      <c r="Q10" s="5"/>
      <c r="R10" s="16">
        <f t="shared" ref="R10" si="4">SUM(R11:R13)</f>
        <v>0</v>
      </c>
    </row>
    <row r="11" spans="2:18" hidden="1" x14ac:dyDescent="0.35">
      <c r="B11" s="50" t="s">
        <v>62</v>
      </c>
      <c r="C11" s="50"/>
      <c r="D11" s="17"/>
      <c r="E11" s="17">
        <f t="shared" ref="E11:P11" si="5">E31*E51</f>
        <v>0</v>
      </c>
      <c r="F11" s="17">
        <f t="shared" si="5"/>
        <v>0</v>
      </c>
      <c r="G11" s="17">
        <f t="shared" si="5"/>
        <v>0</v>
      </c>
      <c r="H11" s="17">
        <f t="shared" si="5"/>
        <v>0</v>
      </c>
      <c r="I11" s="17">
        <f t="shared" si="5"/>
        <v>0</v>
      </c>
      <c r="J11" s="17">
        <f t="shared" si="5"/>
        <v>0</v>
      </c>
      <c r="K11" s="17">
        <f t="shared" si="5"/>
        <v>0</v>
      </c>
      <c r="L11" s="17">
        <f t="shared" si="5"/>
        <v>0</v>
      </c>
      <c r="M11" s="17">
        <f t="shared" si="5"/>
        <v>0</v>
      </c>
      <c r="N11" s="17">
        <f t="shared" si="5"/>
        <v>0</v>
      </c>
      <c r="O11" s="17">
        <f t="shared" si="5"/>
        <v>0</v>
      </c>
      <c r="P11" s="17">
        <f t="shared" si="5"/>
        <v>0</v>
      </c>
      <c r="Q11" s="5"/>
      <c r="R11" s="5">
        <f t="shared" ref="R11:R16" si="6">SUM(E11:P11)</f>
        <v>0</v>
      </c>
    </row>
    <row r="12" spans="2:18" hidden="1" x14ac:dyDescent="0.35">
      <c r="B12" s="50" t="s">
        <v>63</v>
      </c>
      <c r="C12" s="50"/>
      <c r="D12" s="17"/>
      <c r="E12" s="17">
        <f t="shared" ref="E12:P12" si="7">E32*E52</f>
        <v>0</v>
      </c>
      <c r="F12" s="17">
        <f t="shared" si="7"/>
        <v>0</v>
      </c>
      <c r="G12" s="17">
        <f t="shared" si="7"/>
        <v>0</v>
      </c>
      <c r="H12" s="17">
        <f t="shared" si="7"/>
        <v>0</v>
      </c>
      <c r="I12" s="17">
        <f t="shared" si="7"/>
        <v>0</v>
      </c>
      <c r="J12" s="17">
        <f t="shared" si="7"/>
        <v>0</v>
      </c>
      <c r="K12" s="17">
        <f t="shared" si="7"/>
        <v>0</v>
      </c>
      <c r="L12" s="17">
        <f t="shared" si="7"/>
        <v>0</v>
      </c>
      <c r="M12" s="17">
        <f t="shared" si="7"/>
        <v>0</v>
      </c>
      <c r="N12" s="17">
        <f t="shared" si="7"/>
        <v>0</v>
      </c>
      <c r="O12" s="17">
        <f t="shared" si="7"/>
        <v>0</v>
      </c>
      <c r="P12" s="17">
        <f t="shared" si="7"/>
        <v>0</v>
      </c>
      <c r="Q12" s="5"/>
      <c r="R12" s="5">
        <f t="shared" si="6"/>
        <v>0</v>
      </c>
    </row>
    <row r="13" spans="2:18" hidden="1" x14ac:dyDescent="0.35">
      <c r="B13" s="50" t="s">
        <v>64</v>
      </c>
      <c r="C13" s="50"/>
      <c r="D13" s="17"/>
      <c r="E13" s="17">
        <f t="shared" ref="E13:P13" si="8">E33*E53</f>
        <v>0</v>
      </c>
      <c r="F13" s="17">
        <f t="shared" si="8"/>
        <v>0</v>
      </c>
      <c r="G13" s="17">
        <f t="shared" si="8"/>
        <v>0</v>
      </c>
      <c r="H13" s="17">
        <f t="shared" si="8"/>
        <v>0</v>
      </c>
      <c r="I13" s="17">
        <f t="shared" si="8"/>
        <v>0</v>
      </c>
      <c r="J13" s="17">
        <f t="shared" si="8"/>
        <v>0</v>
      </c>
      <c r="K13" s="17">
        <f t="shared" si="8"/>
        <v>0</v>
      </c>
      <c r="L13" s="17">
        <f t="shared" si="8"/>
        <v>0</v>
      </c>
      <c r="M13" s="17">
        <f t="shared" si="8"/>
        <v>0</v>
      </c>
      <c r="N13" s="17">
        <f t="shared" si="8"/>
        <v>0</v>
      </c>
      <c r="O13" s="17">
        <f t="shared" si="8"/>
        <v>0</v>
      </c>
      <c r="P13" s="17">
        <f t="shared" si="8"/>
        <v>0</v>
      </c>
      <c r="Q13" s="5"/>
      <c r="R13" s="5">
        <f t="shared" si="6"/>
        <v>0</v>
      </c>
    </row>
    <row r="14" spans="2:18" hidden="1" x14ac:dyDescent="0.35">
      <c r="B14" s="32"/>
      <c r="C14" s="50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5"/>
      <c r="R14" s="31"/>
    </row>
    <row r="15" spans="2:18" hidden="1" x14ac:dyDescent="0.35">
      <c r="B15" s="10" t="s">
        <v>65</v>
      </c>
      <c r="C15" s="50"/>
      <c r="D15" s="17"/>
      <c r="E15" s="16">
        <f>SUM(E16)</f>
        <v>0</v>
      </c>
      <c r="F15" s="16">
        <f t="shared" ref="F15:R15" si="9">SUM(F16)</f>
        <v>0</v>
      </c>
      <c r="G15" s="16">
        <f t="shared" si="9"/>
        <v>0</v>
      </c>
      <c r="H15" s="16">
        <f t="shared" si="9"/>
        <v>0</v>
      </c>
      <c r="I15" s="16">
        <f t="shared" si="9"/>
        <v>0</v>
      </c>
      <c r="J15" s="16">
        <f t="shared" si="9"/>
        <v>0</v>
      </c>
      <c r="K15" s="16">
        <f t="shared" si="9"/>
        <v>0</v>
      </c>
      <c r="L15" s="16">
        <f t="shared" si="9"/>
        <v>0</v>
      </c>
      <c r="M15" s="16">
        <f t="shared" si="9"/>
        <v>0</v>
      </c>
      <c r="N15" s="16">
        <f t="shared" si="9"/>
        <v>0</v>
      </c>
      <c r="O15" s="16">
        <f t="shared" si="9"/>
        <v>0</v>
      </c>
      <c r="P15" s="16">
        <f t="shared" si="9"/>
        <v>0</v>
      </c>
      <c r="Q15" s="5"/>
      <c r="R15" s="16">
        <f t="shared" si="9"/>
        <v>0</v>
      </c>
    </row>
    <row r="16" spans="2:18" hidden="1" x14ac:dyDescent="0.35">
      <c r="B16" s="50" t="s">
        <v>66</v>
      </c>
      <c r="C16" s="50"/>
      <c r="D16" s="17"/>
      <c r="E16" s="17">
        <f>E36*E56</f>
        <v>0</v>
      </c>
      <c r="F16" s="17">
        <f>E16</f>
        <v>0</v>
      </c>
      <c r="G16" s="17">
        <f t="shared" ref="G16:P16" si="10">F16</f>
        <v>0</v>
      </c>
      <c r="H16" s="17">
        <f t="shared" si="10"/>
        <v>0</v>
      </c>
      <c r="I16" s="17">
        <f t="shared" si="10"/>
        <v>0</v>
      </c>
      <c r="J16" s="17">
        <f t="shared" si="10"/>
        <v>0</v>
      </c>
      <c r="K16" s="17">
        <f t="shared" si="10"/>
        <v>0</v>
      </c>
      <c r="L16" s="17">
        <f t="shared" si="10"/>
        <v>0</v>
      </c>
      <c r="M16" s="17">
        <f t="shared" si="10"/>
        <v>0</v>
      </c>
      <c r="N16" s="17">
        <f t="shared" si="10"/>
        <v>0</v>
      </c>
      <c r="O16" s="17">
        <f t="shared" si="10"/>
        <v>0</v>
      </c>
      <c r="P16" s="17">
        <f t="shared" si="10"/>
        <v>0</v>
      </c>
      <c r="Q16" s="5"/>
      <c r="R16" s="5">
        <f t="shared" si="6"/>
        <v>0</v>
      </c>
    </row>
    <row r="17" spans="2:18" x14ac:dyDescent="0.35">
      <c r="B17" s="32"/>
      <c r="C17" s="50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5"/>
      <c r="R17" s="31"/>
    </row>
    <row r="18" spans="2:18" x14ac:dyDescent="0.35">
      <c r="B18" s="10" t="s">
        <v>74</v>
      </c>
      <c r="C18" s="50"/>
      <c r="D18" s="17"/>
      <c r="E18" s="16">
        <f t="shared" ref="E18:P18" si="11">SUM(E19:E21)</f>
        <v>69366666.666666657</v>
      </c>
      <c r="F18" s="16">
        <f t="shared" si="11"/>
        <v>69366666.666666657</v>
      </c>
      <c r="G18" s="16">
        <f t="shared" si="11"/>
        <v>69366666.666666657</v>
      </c>
      <c r="H18" s="16">
        <f t="shared" si="11"/>
        <v>69366666.666666657</v>
      </c>
      <c r="I18" s="16">
        <f t="shared" si="11"/>
        <v>69366666.666666657</v>
      </c>
      <c r="J18" s="16">
        <f t="shared" si="11"/>
        <v>69366666.666666657</v>
      </c>
      <c r="K18" s="16">
        <f t="shared" si="11"/>
        <v>69366666.666666657</v>
      </c>
      <c r="L18" s="16">
        <f t="shared" si="11"/>
        <v>69366666.666666657</v>
      </c>
      <c r="M18" s="16">
        <f t="shared" si="11"/>
        <v>69366666.666666657</v>
      </c>
      <c r="N18" s="16">
        <f t="shared" si="11"/>
        <v>69366666.666666657</v>
      </c>
      <c r="O18" s="16">
        <f t="shared" si="11"/>
        <v>69366666.666666657</v>
      </c>
      <c r="P18" s="16">
        <f t="shared" si="11"/>
        <v>69366666.666666657</v>
      </c>
      <c r="Q18" s="5"/>
      <c r="R18" s="16">
        <f>SUM(R19:R21)</f>
        <v>832400000</v>
      </c>
    </row>
    <row r="19" spans="2:18" ht="48" x14ac:dyDescent="0.35">
      <c r="B19" s="50" t="s">
        <v>70</v>
      </c>
      <c r="C19" s="50"/>
      <c r="D19" s="17"/>
      <c r="E19" s="17">
        <f>E39*E59</f>
        <v>17100000</v>
      </c>
      <c r="F19" s="17">
        <f>E19</f>
        <v>17100000</v>
      </c>
      <c r="G19" s="17">
        <f t="shared" ref="G19:P19" si="12">F19</f>
        <v>17100000</v>
      </c>
      <c r="H19" s="17">
        <f t="shared" si="12"/>
        <v>17100000</v>
      </c>
      <c r="I19" s="17">
        <f t="shared" si="12"/>
        <v>17100000</v>
      </c>
      <c r="J19" s="17">
        <f t="shared" si="12"/>
        <v>17100000</v>
      </c>
      <c r="K19" s="17">
        <f t="shared" si="12"/>
        <v>17100000</v>
      </c>
      <c r="L19" s="17">
        <f t="shared" si="12"/>
        <v>17100000</v>
      </c>
      <c r="M19" s="17">
        <f t="shared" si="12"/>
        <v>17100000</v>
      </c>
      <c r="N19" s="17">
        <f t="shared" si="12"/>
        <v>17100000</v>
      </c>
      <c r="O19" s="17">
        <f t="shared" si="12"/>
        <v>17100000</v>
      </c>
      <c r="P19" s="17">
        <f t="shared" si="12"/>
        <v>17100000</v>
      </c>
      <c r="Q19" s="5"/>
      <c r="R19" s="5">
        <f t="shared" ref="R19:R21" si="13">SUM(E19:P19)</f>
        <v>205200000</v>
      </c>
    </row>
    <row r="20" spans="2:18" x14ac:dyDescent="0.35">
      <c r="B20" s="50" t="s">
        <v>95</v>
      </c>
      <c r="C20" s="50"/>
      <c r="D20" s="17"/>
      <c r="E20" s="17">
        <f>E40*E60</f>
        <v>50666666.666666664</v>
      </c>
      <c r="F20" s="17">
        <f t="shared" ref="F20:P20" si="14">F40*F60</f>
        <v>50666666.666666664</v>
      </c>
      <c r="G20" s="17">
        <f t="shared" si="14"/>
        <v>50666666.666666664</v>
      </c>
      <c r="H20" s="17">
        <f t="shared" si="14"/>
        <v>50666666.666666664</v>
      </c>
      <c r="I20" s="17">
        <f t="shared" si="14"/>
        <v>50666666.666666664</v>
      </c>
      <c r="J20" s="17">
        <f t="shared" si="14"/>
        <v>50666666.666666664</v>
      </c>
      <c r="K20" s="17">
        <f t="shared" si="14"/>
        <v>50666666.666666664</v>
      </c>
      <c r="L20" s="17">
        <f t="shared" si="14"/>
        <v>50666666.666666664</v>
      </c>
      <c r="M20" s="17">
        <f t="shared" si="14"/>
        <v>50666666.666666664</v>
      </c>
      <c r="N20" s="17">
        <f t="shared" si="14"/>
        <v>50666666.666666664</v>
      </c>
      <c r="O20" s="17">
        <f t="shared" si="14"/>
        <v>50666666.666666664</v>
      </c>
      <c r="P20" s="17">
        <f t="shared" si="14"/>
        <v>50666666.666666664</v>
      </c>
      <c r="Q20" s="5"/>
      <c r="R20" s="5">
        <f>SUM(E20:P20)</f>
        <v>608000000</v>
      </c>
    </row>
    <row r="21" spans="2:18" x14ac:dyDescent="0.35">
      <c r="B21" s="50" t="s">
        <v>68</v>
      </c>
      <c r="C21" s="50"/>
      <c r="D21" s="17"/>
      <c r="E21" s="17">
        <f>E41*E61</f>
        <v>1600000</v>
      </c>
      <c r="F21" s="17">
        <f t="shared" ref="F21:P21" si="15">F41*F61</f>
        <v>1600000</v>
      </c>
      <c r="G21" s="17">
        <f t="shared" si="15"/>
        <v>1600000</v>
      </c>
      <c r="H21" s="17">
        <f t="shared" si="15"/>
        <v>1600000</v>
      </c>
      <c r="I21" s="17">
        <f t="shared" si="15"/>
        <v>1600000</v>
      </c>
      <c r="J21" s="17">
        <f t="shared" si="15"/>
        <v>1600000</v>
      </c>
      <c r="K21" s="17">
        <f t="shared" si="15"/>
        <v>1600000</v>
      </c>
      <c r="L21" s="17">
        <f t="shared" si="15"/>
        <v>1600000</v>
      </c>
      <c r="M21" s="17">
        <f t="shared" si="15"/>
        <v>1600000</v>
      </c>
      <c r="N21" s="17">
        <f t="shared" si="15"/>
        <v>1600000</v>
      </c>
      <c r="O21" s="17">
        <f t="shared" si="15"/>
        <v>1600000</v>
      </c>
      <c r="P21" s="17">
        <f t="shared" si="15"/>
        <v>1600000</v>
      </c>
      <c r="Q21" s="5"/>
      <c r="R21" s="5">
        <f t="shared" si="13"/>
        <v>19200000</v>
      </c>
    </row>
    <row r="22" spans="2:18" s="10" customFormat="1" x14ac:dyDescent="0.35">
      <c r="B22" s="27"/>
      <c r="C22" s="2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31"/>
      <c r="R22" s="31"/>
    </row>
    <row r="23" spans="2:18" x14ac:dyDescent="0.35">
      <c r="B23" s="32"/>
      <c r="C23" s="32"/>
      <c r="D23" s="17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</row>
    <row r="24" spans="2:18" x14ac:dyDescent="0.35">
      <c r="B24" s="29" t="s">
        <v>8</v>
      </c>
      <c r="C24" s="29"/>
      <c r="D24" s="29"/>
      <c r="E24" s="35"/>
      <c r="I24" s="15"/>
    </row>
    <row r="25" spans="2:18" x14ac:dyDescent="0.35">
      <c r="B25" s="10" t="s">
        <v>59</v>
      </c>
      <c r="C25" s="10"/>
      <c r="D25" s="17"/>
      <c r="E25" s="35"/>
      <c r="I25" s="15"/>
    </row>
    <row r="26" spans="2:18" ht="32" x14ac:dyDescent="0.35">
      <c r="B26" s="50" t="s">
        <v>97</v>
      </c>
      <c r="C26" s="50"/>
      <c r="D26" s="17"/>
      <c r="E26" s="36">
        <v>15</v>
      </c>
      <c r="F26" s="36">
        <v>15</v>
      </c>
      <c r="G26" s="36">
        <v>15</v>
      </c>
      <c r="H26" s="36">
        <v>15</v>
      </c>
      <c r="I26" s="36">
        <v>15</v>
      </c>
      <c r="J26" s="36">
        <v>15</v>
      </c>
      <c r="K26" s="36">
        <v>15</v>
      </c>
      <c r="L26" s="36">
        <v>15</v>
      </c>
      <c r="M26" s="36">
        <v>15</v>
      </c>
      <c r="N26" s="36">
        <v>15</v>
      </c>
      <c r="O26" s="36">
        <v>15</v>
      </c>
      <c r="P26" s="36">
        <v>15</v>
      </c>
      <c r="R26" s="31">
        <f t="shared" ref="R26:R28" si="16">SUM(E26:P26)</f>
        <v>180</v>
      </c>
    </row>
    <row r="27" spans="2:18" ht="32" x14ac:dyDescent="0.35">
      <c r="B27" s="50" t="s">
        <v>98</v>
      </c>
      <c r="C27" s="50"/>
      <c r="D27" s="17"/>
      <c r="E27" s="36">
        <v>4</v>
      </c>
      <c r="F27" s="36">
        <v>4</v>
      </c>
      <c r="G27" s="36">
        <v>4</v>
      </c>
      <c r="H27" s="36">
        <v>4</v>
      </c>
      <c r="I27" s="36">
        <v>4</v>
      </c>
      <c r="J27" s="36">
        <v>4</v>
      </c>
      <c r="K27" s="36">
        <v>4</v>
      </c>
      <c r="L27" s="36">
        <v>4</v>
      </c>
      <c r="M27" s="36">
        <v>4</v>
      </c>
      <c r="N27" s="36">
        <v>4</v>
      </c>
      <c r="O27" s="36">
        <v>4</v>
      </c>
      <c r="P27" s="36">
        <v>4</v>
      </c>
      <c r="R27" s="31">
        <f t="shared" si="16"/>
        <v>48</v>
      </c>
    </row>
    <row r="28" spans="2:18" x14ac:dyDescent="0.35">
      <c r="B28" s="50" t="s">
        <v>60</v>
      </c>
      <c r="C28" s="50"/>
      <c r="D28" s="17"/>
      <c r="E28" s="36">
        <v>1</v>
      </c>
      <c r="F28" s="36">
        <v>2</v>
      </c>
      <c r="G28" s="36">
        <v>1</v>
      </c>
      <c r="H28" s="36">
        <v>2</v>
      </c>
      <c r="I28" s="36">
        <v>1</v>
      </c>
      <c r="J28" s="36">
        <v>2</v>
      </c>
      <c r="K28" s="36">
        <v>1</v>
      </c>
      <c r="L28" s="36">
        <v>2</v>
      </c>
      <c r="M28" s="36">
        <v>1</v>
      </c>
      <c r="N28" s="36">
        <v>2</v>
      </c>
      <c r="O28" s="36">
        <v>1</v>
      </c>
      <c r="P28" s="36">
        <v>2</v>
      </c>
      <c r="R28" s="31">
        <f t="shared" si="16"/>
        <v>18</v>
      </c>
    </row>
    <row r="29" spans="2:18" x14ac:dyDescent="0.35">
      <c r="B29" s="50"/>
      <c r="C29" s="50"/>
      <c r="D29" s="17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R29" s="31"/>
    </row>
    <row r="30" spans="2:18" hidden="1" x14ac:dyDescent="0.35">
      <c r="B30" s="33" t="s">
        <v>61</v>
      </c>
      <c r="C30" s="50"/>
      <c r="D30" s="17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R30" s="31"/>
    </row>
    <row r="31" spans="2:18" s="10" customFormat="1" hidden="1" x14ac:dyDescent="0.35">
      <c r="B31" s="50" t="s">
        <v>62</v>
      </c>
      <c r="C31" s="27"/>
      <c r="D31" s="17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R31" s="31"/>
    </row>
    <row r="32" spans="2:18" hidden="1" x14ac:dyDescent="0.35">
      <c r="B32" s="50" t="s">
        <v>63</v>
      </c>
      <c r="C32" s="33"/>
      <c r="D32" s="17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R32" s="31"/>
    </row>
    <row r="33" spans="2:18" hidden="1" x14ac:dyDescent="0.35">
      <c r="B33" s="50" t="s">
        <v>64</v>
      </c>
      <c r="C33" s="50"/>
      <c r="D33" s="17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R33" s="31"/>
    </row>
    <row r="34" spans="2:18" hidden="1" x14ac:dyDescent="0.35">
      <c r="B34" s="32"/>
      <c r="C34" s="50"/>
      <c r="D34" s="17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R34" s="31"/>
    </row>
    <row r="35" spans="2:18" hidden="1" x14ac:dyDescent="0.35">
      <c r="B35" s="10" t="s">
        <v>65</v>
      </c>
      <c r="C35" s="50"/>
      <c r="D35" s="17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R35" s="31"/>
    </row>
    <row r="36" spans="2:18" hidden="1" x14ac:dyDescent="0.35">
      <c r="B36" s="50" t="s">
        <v>66</v>
      </c>
      <c r="C36" s="50"/>
      <c r="D36" s="17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R36" s="31"/>
    </row>
    <row r="37" spans="2:18" hidden="1" x14ac:dyDescent="0.35">
      <c r="B37" s="32"/>
      <c r="C37" s="50"/>
      <c r="D37" s="17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R37" s="31"/>
    </row>
    <row r="38" spans="2:18" x14ac:dyDescent="0.35">
      <c r="B38" s="10" t="s">
        <v>67</v>
      </c>
      <c r="C38" s="50"/>
      <c r="D38" s="17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R38" s="31"/>
    </row>
    <row r="39" spans="2:18" ht="48" x14ac:dyDescent="0.35">
      <c r="B39" s="50" t="s">
        <v>70</v>
      </c>
      <c r="C39" s="50"/>
      <c r="D39" s="17"/>
      <c r="E39" s="36">
        <v>15</v>
      </c>
      <c r="F39" s="36">
        <v>15</v>
      </c>
      <c r="G39" s="36">
        <v>15</v>
      </c>
      <c r="H39" s="36">
        <v>15</v>
      </c>
      <c r="I39" s="36">
        <v>15</v>
      </c>
      <c r="J39" s="36">
        <v>15</v>
      </c>
      <c r="K39" s="36">
        <v>15</v>
      </c>
      <c r="L39" s="36">
        <v>15</v>
      </c>
      <c r="M39" s="36">
        <v>15</v>
      </c>
      <c r="N39" s="36">
        <v>15</v>
      </c>
      <c r="O39" s="36">
        <v>15</v>
      </c>
      <c r="P39" s="36">
        <v>15</v>
      </c>
      <c r="R39" s="31">
        <f t="shared" ref="R39:R41" si="17">SUM(E39:P39)</f>
        <v>180</v>
      </c>
    </row>
    <row r="40" spans="2:18" x14ac:dyDescent="0.35">
      <c r="B40" s="50" t="s">
        <v>69</v>
      </c>
      <c r="C40" s="50"/>
      <c r="D40" s="17"/>
      <c r="E40" s="55">
        <v>4</v>
      </c>
      <c r="F40" s="55">
        <f>E40</f>
        <v>4</v>
      </c>
      <c r="G40" s="55">
        <f t="shared" ref="G40:P40" si="18">F40</f>
        <v>4</v>
      </c>
      <c r="H40" s="55">
        <f t="shared" si="18"/>
        <v>4</v>
      </c>
      <c r="I40" s="55">
        <f t="shared" si="18"/>
        <v>4</v>
      </c>
      <c r="J40" s="55">
        <f t="shared" si="18"/>
        <v>4</v>
      </c>
      <c r="K40" s="55">
        <f t="shared" si="18"/>
        <v>4</v>
      </c>
      <c r="L40" s="55">
        <f t="shared" si="18"/>
        <v>4</v>
      </c>
      <c r="M40" s="55">
        <f t="shared" si="18"/>
        <v>4</v>
      </c>
      <c r="N40" s="55">
        <f t="shared" si="18"/>
        <v>4</v>
      </c>
      <c r="O40" s="55">
        <f t="shared" si="18"/>
        <v>4</v>
      </c>
      <c r="P40" s="55">
        <f t="shared" si="18"/>
        <v>4</v>
      </c>
      <c r="R40" s="31">
        <f t="shared" si="17"/>
        <v>48</v>
      </c>
    </row>
    <row r="41" spans="2:18" x14ac:dyDescent="0.35">
      <c r="B41" s="50" t="s">
        <v>68</v>
      </c>
      <c r="C41" s="50"/>
      <c r="D41" s="17"/>
      <c r="E41" s="36">
        <v>1</v>
      </c>
      <c r="F41" s="36">
        <v>1</v>
      </c>
      <c r="G41" s="36">
        <v>1</v>
      </c>
      <c r="H41" s="36">
        <v>1</v>
      </c>
      <c r="I41" s="36">
        <v>1</v>
      </c>
      <c r="J41" s="36">
        <v>1</v>
      </c>
      <c r="K41" s="36">
        <v>1</v>
      </c>
      <c r="L41" s="36">
        <v>1</v>
      </c>
      <c r="M41" s="36">
        <v>1</v>
      </c>
      <c r="N41" s="36">
        <v>1</v>
      </c>
      <c r="O41" s="36">
        <v>1</v>
      </c>
      <c r="P41" s="36">
        <v>1</v>
      </c>
      <c r="R41" s="31">
        <f t="shared" si="17"/>
        <v>12</v>
      </c>
    </row>
    <row r="42" spans="2:18" x14ac:dyDescent="0.35">
      <c r="B42" s="50"/>
      <c r="C42" s="50"/>
      <c r="D42" s="17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R42" s="31"/>
    </row>
    <row r="43" spans="2:18" x14ac:dyDescent="0.35">
      <c r="B43" s="32"/>
      <c r="C43" s="32"/>
      <c r="D43" s="17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</row>
    <row r="44" spans="2:18" x14ac:dyDescent="0.35">
      <c r="B44" s="29" t="s">
        <v>9</v>
      </c>
      <c r="C44" s="29" t="s">
        <v>125</v>
      </c>
      <c r="D44" s="29" t="s">
        <v>71</v>
      </c>
    </row>
    <row r="45" spans="2:18" x14ac:dyDescent="0.35">
      <c r="B45" s="10" t="s">
        <v>59</v>
      </c>
      <c r="C45" s="10"/>
      <c r="D45" s="17"/>
      <c r="E45" s="59" t="s">
        <v>47</v>
      </c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</row>
    <row r="46" spans="2:18" ht="32" x14ac:dyDescent="0.35">
      <c r="B46" s="50" t="s">
        <v>97</v>
      </c>
      <c r="C46" s="17">
        <v>1050</v>
      </c>
      <c r="D46" s="17">
        <v>1900</v>
      </c>
      <c r="E46" s="17">
        <f>(D46*C46)/12</f>
        <v>166250</v>
      </c>
      <c r="F46" s="17">
        <f>E46</f>
        <v>166250</v>
      </c>
      <c r="G46" s="17">
        <f t="shared" ref="G46:P48" si="19">F46</f>
        <v>166250</v>
      </c>
      <c r="H46" s="17">
        <f t="shared" si="19"/>
        <v>166250</v>
      </c>
      <c r="I46" s="17">
        <f t="shared" si="19"/>
        <v>166250</v>
      </c>
      <c r="J46" s="17">
        <f t="shared" si="19"/>
        <v>166250</v>
      </c>
      <c r="K46" s="17">
        <f t="shared" si="19"/>
        <v>166250</v>
      </c>
      <c r="L46" s="17">
        <f t="shared" si="19"/>
        <v>166250</v>
      </c>
      <c r="M46" s="17">
        <f t="shared" si="19"/>
        <v>166250</v>
      </c>
      <c r="N46" s="17">
        <f t="shared" si="19"/>
        <v>166250</v>
      </c>
      <c r="O46" s="17">
        <f t="shared" si="19"/>
        <v>166250</v>
      </c>
      <c r="P46" s="17">
        <f t="shared" si="19"/>
        <v>166250</v>
      </c>
      <c r="R46" s="5">
        <f>SUM(E46:Q46)</f>
        <v>1995000</v>
      </c>
    </row>
    <row r="47" spans="2:18" ht="32" x14ac:dyDescent="0.35">
      <c r="B47" s="50" t="s">
        <v>98</v>
      </c>
      <c r="C47" s="17">
        <v>3500</v>
      </c>
      <c r="D47" s="17">
        <v>1900</v>
      </c>
      <c r="E47" s="17">
        <f>C47*D47</f>
        <v>6650000</v>
      </c>
      <c r="F47" s="17">
        <v>6650000</v>
      </c>
      <c r="G47" s="17">
        <v>6650000</v>
      </c>
      <c r="H47" s="17">
        <v>6650000</v>
      </c>
      <c r="I47" s="17">
        <v>6650000</v>
      </c>
      <c r="J47" s="17">
        <v>6650000</v>
      </c>
      <c r="K47" s="17">
        <v>6650000</v>
      </c>
      <c r="L47" s="17">
        <v>6650000</v>
      </c>
      <c r="M47" s="17">
        <v>6650000</v>
      </c>
      <c r="N47" s="17">
        <v>6650000</v>
      </c>
      <c r="O47" s="17">
        <v>6650000</v>
      </c>
      <c r="P47" s="17">
        <v>6650000</v>
      </c>
      <c r="R47" s="5">
        <f>SUM(E47:Q47)</f>
        <v>79800000</v>
      </c>
    </row>
    <row r="48" spans="2:18" ht="32" x14ac:dyDescent="0.35">
      <c r="B48" s="50" t="s">
        <v>93</v>
      </c>
      <c r="C48" s="17">
        <v>115</v>
      </c>
      <c r="D48" s="17">
        <v>1600</v>
      </c>
      <c r="E48" s="17">
        <f>D48*C48</f>
        <v>184000</v>
      </c>
      <c r="F48" s="17">
        <f>E48</f>
        <v>184000</v>
      </c>
      <c r="G48" s="17">
        <f t="shared" si="19"/>
        <v>184000</v>
      </c>
      <c r="H48" s="17">
        <f t="shared" ref="H48:P48" si="20">G48</f>
        <v>184000</v>
      </c>
      <c r="I48" s="17">
        <f t="shared" si="20"/>
        <v>184000</v>
      </c>
      <c r="J48" s="17">
        <f t="shared" si="20"/>
        <v>184000</v>
      </c>
      <c r="K48" s="17">
        <f t="shared" si="20"/>
        <v>184000</v>
      </c>
      <c r="L48" s="17">
        <f t="shared" si="20"/>
        <v>184000</v>
      </c>
      <c r="M48" s="17">
        <f t="shared" si="20"/>
        <v>184000</v>
      </c>
      <c r="N48" s="17">
        <f t="shared" si="20"/>
        <v>184000</v>
      </c>
      <c r="O48" s="17">
        <f t="shared" si="20"/>
        <v>184000</v>
      </c>
      <c r="P48" s="17">
        <f t="shared" si="20"/>
        <v>184000</v>
      </c>
      <c r="R48" s="5">
        <f t="shared" ref="R48:R61" si="21">SUM(E48:Q48)</f>
        <v>2208000</v>
      </c>
    </row>
    <row r="49" spans="2:18" hidden="1" x14ac:dyDescent="0.35">
      <c r="B49" s="50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R49" s="5">
        <f t="shared" si="21"/>
        <v>0</v>
      </c>
    </row>
    <row r="50" spans="2:18" hidden="1" x14ac:dyDescent="0.35">
      <c r="B50" s="33" t="s">
        <v>61</v>
      </c>
      <c r="C50" s="17"/>
      <c r="D50" s="17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R50" s="5">
        <f t="shared" si="21"/>
        <v>0</v>
      </c>
    </row>
    <row r="51" spans="2:18" hidden="1" x14ac:dyDescent="0.35">
      <c r="B51" s="50" t="s">
        <v>62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R51" s="5">
        <f t="shared" si="21"/>
        <v>0</v>
      </c>
    </row>
    <row r="52" spans="2:18" hidden="1" x14ac:dyDescent="0.35">
      <c r="B52" s="50" t="s">
        <v>63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R52" s="5">
        <f t="shared" si="21"/>
        <v>0</v>
      </c>
    </row>
    <row r="53" spans="2:18" hidden="1" x14ac:dyDescent="0.35">
      <c r="B53" s="50" t="s">
        <v>64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R53" s="5">
        <f t="shared" si="21"/>
        <v>0</v>
      </c>
    </row>
    <row r="54" spans="2:18" hidden="1" x14ac:dyDescent="0.35">
      <c r="B54" s="32"/>
      <c r="C54" s="17"/>
      <c r="D54" s="17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R54" s="5">
        <f t="shared" si="21"/>
        <v>0</v>
      </c>
    </row>
    <row r="55" spans="2:18" hidden="1" x14ac:dyDescent="0.35">
      <c r="B55" s="10" t="s">
        <v>65</v>
      </c>
      <c r="C55" s="17"/>
      <c r="D55" s="17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R55" s="5">
        <f t="shared" si="21"/>
        <v>0</v>
      </c>
    </row>
    <row r="56" spans="2:18" hidden="1" x14ac:dyDescent="0.35">
      <c r="B56" s="50" t="s">
        <v>66</v>
      </c>
      <c r="C56" s="17"/>
      <c r="D56" s="17"/>
      <c r="E56" s="17"/>
      <c r="F56" s="17">
        <f t="shared" ref="F56:P56" si="22">E56*D56</f>
        <v>0</v>
      </c>
      <c r="G56" s="17">
        <f t="shared" si="22"/>
        <v>0</v>
      </c>
      <c r="H56" s="17">
        <f t="shared" si="22"/>
        <v>0</v>
      </c>
      <c r="I56" s="17">
        <f t="shared" si="22"/>
        <v>0</v>
      </c>
      <c r="J56" s="17">
        <f t="shared" si="22"/>
        <v>0</v>
      </c>
      <c r="K56" s="17">
        <f t="shared" si="22"/>
        <v>0</v>
      </c>
      <c r="L56" s="17">
        <f t="shared" si="22"/>
        <v>0</v>
      </c>
      <c r="M56" s="17">
        <f t="shared" si="22"/>
        <v>0</v>
      </c>
      <c r="N56" s="17">
        <f t="shared" si="22"/>
        <v>0</v>
      </c>
      <c r="O56" s="17">
        <f t="shared" si="22"/>
        <v>0</v>
      </c>
      <c r="P56" s="17">
        <f t="shared" si="22"/>
        <v>0</v>
      </c>
      <c r="R56" s="5">
        <f t="shared" si="21"/>
        <v>0</v>
      </c>
    </row>
    <row r="57" spans="2:18" x14ac:dyDescent="0.35">
      <c r="B57" s="32"/>
      <c r="C57" s="17"/>
      <c r="D57" s="17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R57" s="5">
        <f t="shared" si="21"/>
        <v>0</v>
      </c>
    </row>
    <row r="58" spans="2:18" x14ac:dyDescent="0.35">
      <c r="B58" s="10" t="s">
        <v>67</v>
      </c>
      <c r="C58" s="17"/>
      <c r="D58" s="17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R58" s="5">
        <f t="shared" si="21"/>
        <v>0</v>
      </c>
    </row>
    <row r="59" spans="2:18" ht="64" x14ac:dyDescent="0.35">
      <c r="B59" s="50" t="s">
        <v>94</v>
      </c>
      <c r="C59" s="17">
        <v>600</v>
      </c>
      <c r="D59" s="17">
        <v>1900</v>
      </c>
      <c r="E59" s="17">
        <f>(D59*C59)</f>
        <v>1140000</v>
      </c>
      <c r="F59" s="17">
        <f>E59</f>
        <v>1140000</v>
      </c>
      <c r="G59" s="17">
        <f t="shared" ref="G59:P60" si="23">F59</f>
        <v>1140000</v>
      </c>
      <c r="H59" s="17">
        <f t="shared" si="23"/>
        <v>1140000</v>
      </c>
      <c r="I59" s="17">
        <f t="shared" si="23"/>
        <v>1140000</v>
      </c>
      <c r="J59" s="17">
        <f t="shared" si="23"/>
        <v>1140000</v>
      </c>
      <c r="K59" s="17">
        <f t="shared" si="23"/>
        <v>1140000</v>
      </c>
      <c r="L59" s="17">
        <f t="shared" si="23"/>
        <v>1140000</v>
      </c>
      <c r="M59" s="17">
        <f t="shared" si="23"/>
        <v>1140000</v>
      </c>
      <c r="N59" s="17">
        <f t="shared" si="23"/>
        <v>1140000</v>
      </c>
      <c r="O59" s="17">
        <f t="shared" si="23"/>
        <v>1140000</v>
      </c>
      <c r="P59" s="17">
        <f t="shared" si="23"/>
        <v>1140000</v>
      </c>
      <c r="R59" s="5">
        <f t="shared" si="21"/>
        <v>13680000</v>
      </c>
    </row>
    <row r="60" spans="2:18" x14ac:dyDescent="0.35">
      <c r="B60" s="50" t="s">
        <v>69</v>
      </c>
      <c r="C60" s="17">
        <v>95000</v>
      </c>
      <c r="D60" s="17">
        <v>1600</v>
      </c>
      <c r="E60" s="17">
        <f>((C60*D60)/4)/3</f>
        <v>12666666.666666666</v>
      </c>
      <c r="F60" s="17">
        <f>E60</f>
        <v>12666666.666666666</v>
      </c>
      <c r="G60" s="17">
        <f t="shared" si="23"/>
        <v>12666666.666666666</v>
      </c>
      <c r="H60" s="17">
        <f t="shared" si="23"/>
        <v>12666666.666666666</v>
      </c>
      <c r="I60" s="17">
        <f t="shared" si="23"/>
        <v>12666666.666666666</v>
      </c>
      <c r="J60" s="17">
        <f t="shared" si="23"/>
        <v>12666666.666666666</v>
      </c>
      <c r="K60" s="17">
        <f t="shared" si="23"/>
        <v>12666666.666666666</v>
      </c>
      <c r="L60" s="17">
        <f t="shared" si="23"/>
        <v>12666666.666666666</v>
      </c>
      <c r="M60" s="17">
        <f t="shared" si="23"/>
        <v>12666666.666666666</v>
      </c>
      <c r="N60" s="17">
        <f t="shared" si="23"/>
        <v>12666666.666666666</v>
      </c>
      <c r="O60" s="17">
        <f t="shared" si="23"/>
        <v>12666666.666666666</v>
      </c>
      <c r="P60" s="17">
        <f t="shared" si="23"/>
        <v>12666666.666666666</v>
      </c>
      <c r="R60" s="5">
        <f t="shared" si="21"/>
        <v>152000000</v>
      </c>
    </row>
    <row r="61" spans="2:18" x14ac:dyDescent="0.35">
      <c r="B61" s="50" t="s">
        <v>68</v>
      </c>
      <c r="C61" s="17">
        <v>1000</v>
      </c>
      <c r="D61" s="17">
        <v>1600</v>
      </c>
      <c r="E61" s="17">
        <f>(D61*C61)</f>
        <v>1600000</v>
      </c>
      <c r="F61" s="17">
        <f>E61</f>
        <v>1600000</v>
      </c>
      <c r="G61" s="17">
        <f t="shared" ref="G61:P61" si="24">F61</f>
        <v>1600000</v>
      </c>
      <c r="H61" s="17">
        <f t="shared" si="24"/>
        <v>1600000</v>
      </c>
      <c r="I61" s="17">
        <f t="shared" si="24"/>
        <v>1600000</v>
      </c>
      <c r="J61" s="17">
        <f t="shared" si="24"/>
        <v>1600000</v>
      </c>
      <c r="K61" s="17">
        <f t="shared" si="24"/>
        <v>1600000</v>
      </c>
      <c r="L61" s="17">
        <f t="shared" si="24"/>
        <v>1600000</v>
      </c>
      <c r="M61" s="17">
        <f t="shared" si="24"/>
        <v>1600000</v>
      </c>
      <c r="N61" s="17">
        <f t="shared" si="24"/>
        <v>1600000</v>
      </c>
      <c r="O61" s="17">
        <f t="shared" si="24"/>
        <v>1600000</v>
      </c>
      <c r="P61" s="17">
        <f t="shared" si="24"/>
        <v>1600000</v>
      </c>
      <c r="R61" s="5">
        <f t="shared" si="21"/>
        <v>19200000</v>
      </c>
    </row>
    <row r="62" spans="2:18" x14ac:dyDescent="0.35">
      <c r="B62" s="50"/>
      <c r="C62" s="50"/>
      <c r="D62" s="17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</row>
    <row r="63" spans="2:18" x14ac:dyDescent="0.35">
      <c r="B63" s="32"/>
      <c r="C63" s="32"/>
      <c r="D63" s="37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</row>
    <row r="64" spans="2:18" x14ac:dyDescent="0.35">
      <c r="B64" s="32"/>
      <c r="C64" s="32"/>
      <c r="D64" s="37"/>
      <c r="E64" s="34"/>
    </row>
    <row r="65" spans="2:25" x14ac:dyDescent="0.35">
      <c r="B65" s="29" t="s">
        <v>46</v>
      </c>
      <c r="C65" s="29"/>
    </row>
    <row r="66" spans="2:25" ht="14.4" customHeight="1" x14ac:dyDescent="0.35">
      <c r="B66" s="28"/>
      <c r="C66" s="28"/>
      <c r="D66" s="28"/>
      <c r="E66" s="10" t="s">
        <v>37</v>
      </c>
      <c r="F66" s="10" t="s">
        <v>40</v>
      </c>
      <c r="G66" s="10" t="s">
        <v>41</v>
      </c>
      <c r="H66" s="10" t="s">
        <v>42</v>
      </c>
      <c r="I66" s="10" t="s">
        <v>43</v>
      </c>
    </row>
    <row r="67" spans="2:25" x14ac:dyDescent="0.35">
      <c r="B67" s="28" t="s">
        <v>28</v>
      </c>
      <c r="C67" s="28"/>
      <c r="D67" s="28"/>
      <c r="F67" s="39">
        <v>0.15</v>
      </c>
      <c r="G67" s="39">
        <v>0.15</v>
      </c>
      <c r="H67" s="39">
        <v>0.15</v>
      </c>
      <c r="I67" s="39">
        <v>0.15</v>
      </c>
      <c r="J67" s="39"/>
      <c r="K67" s="40"/>
      <c r="L67" s="40"/>
      <c r="M67" s="40"/>
      <c r="N67" s="40"/>
      <c r="O67" s="40"/>
    </row>
    <row r="68" spans="2:25" x14ac:dyDescent="0.35">
      <c r="B68" s="28" t="s">
        <v>29</v>
      </c>
      <c r="C68" s="28"/>
      <c r="D68" s="28"/>
      <c r="F68" s="39">
        <v>0.15</v>
      </c>
      <c r="G68" s="39">
        <v>0.15</v>
      </c>
      <c r="H68" s="39">
        <v>0.15</v>
      </c>
      <c r="I68" s="39">
        <v>0.15</v>
      </c>
      <c r="J68" s="39"/>
      <c r="K68" s="40"/>
      <c r="L68" s="40"/>
      <c r="M68" s="40"/>
      <c r="N68" s="40"/>
      <c r="O68" s="40"/>
    </row>
    <row r="69" spans="2:25" ht="32" x14ac:dyDescent="0.35">
      <c r="B69" s="28"/>
      <c r="C69" s="28"/>
      <c r="D69" s="28"/>
      <c r="F69" s="39"/>
      <c r="G69" s="39"/>
      <c r="H69" s="39"/>
      <c r="I69" s="39"/>
      <c r="J69" s="49" t="s">
        <v>51</v>
      </c>
      <c r="K69" s="40"/>
      <c r="L69" s="40"/>
      <c r="M69" s="40"/>
      <c r="N69" s="40"/>
      <c r="O69" s="40"/>
    </row>
    <row r="70" spans="2:25" x14ac:dyDescent="0.35">
      <c r="B70" s="27" t="s">
        <v>31</v>
      </c>
      <c r="D70" s="42">
        <v>0.2</v>
      </c>
      <c r="F70" s="39">
        <v>0.2</v>
      </c>
      <c r="G70" s="39">
        <v>0.2</v>
      </c>
      <c r="H70" s="39">
        <v>0.2</v>
      </c>
      <c r="I70" s="39">
        <v>0.2</v>
      </c>
      <c r="J70" s="41">
        <f>R5+R10+R18</f>
        <v>1183733000</v>
      </c>
      <c r="K70" s="40"/>
      <c r="L70" s="40"/>
      <c r="M70" s="40"/>
      <c r="N70" s="40"/>
      <c r="O70" s="40"/>
    </row>
    <row r="71" spans="2:25" x14ac:dyDescent="0.35">
      <c r="B71" s="27" t="s">
        <v>96</v>
      </c>
      <c r="D71" s="42">
        <v>0.4</v>
      </c>
      <c r="E71" s="5">
        <f>$J$70*D71</f>
        <v>473493200</v>
      </c>
      <c r="F71" s="39">
        <v>0.1</v>
      </c>
      <c r="G71" s="39">
        <v>0.08</v>
      </c>
      <c r="H71" s="39">
        <v>0.08</v>
      </c>
      <c r="I71" s="39">
        <v>0.06</v>
      </c>
      <c r="J71" s="39"/>
      <c r="K71" s="40"/>
      <c r="L71" s="40"/>
      <c r="M71" s="40"/>
      <c r="N71" s="40"/>
      <c r="O71" s="40"/>
    </row>
    <row r="72" spans="2:25" x14ac:dyDescent="0.35">
      <c r="B72" s="27" t="s">
        <v>49</v>
      </c>
      <c r="D72" s="42">
        <v>6.5000000000000002E-2</v>
      </c>
      <c r="E72" s="5">
        <f>$J$70*D72</f>
        <v>76942645</v>
      </c>
      <c r="F72" s="39">
        <v>0.1</v>
      </c>
      <c r="G72" s="39">
        <v>0.08</v>
      </c>
      <c r="H72" s="39">
        <v>0.05</v>
      </c>
      <c r="I72" s="39">
        <v>0.05</v>
      </c>
      <c r="J72" s="39"/>
      <c r="K72" s="40"/>
      <c r="L72" s="40"/>
      <c r="M72" s="40"/>
      <c r="N72" s="40"/>
      <c r="O72" s="40"/>
    </row>
    <row r="73" spans="2:25" x14ac:dyDescent="0.35">
      <c r="B73" s="27" t="s">
        <v>53</v>
      </c>
      <c r="D73" s="42">
        <v>0.02</v>
      </c>
      <c r="E73" s="5">
        <f>$J$70*D73</f>
        <v>23674660</v>
      </c>
      <c r="F73" s="39"/>
      <c r="G73" s="39"/>
      <c r="H73" s="39"/>
      <c r="I73" s="39"/>
      <c r="J73" s="39"/>
      <c r="K73" s="40"/>
      <c r="L73" s="40"/>
      <c r="M73" s="40"/>
      <c r="N73" s="40"/>
      <c r="O73" s="40"/>
    </row>
    <row r="74" spans="2:25" ht="13.5" customHeight="1" x14ac:dyDescent="0.35">
      <c r="B74" s="27" t="s">
        <v>50</v>
      </c>
      <c r="D74" s="42">
        <v>0.03</v>
      </c>
      <c r="E74" s="5">
        <f>$J$70*D74</f>
        <v>35511990</v>
      </c>
      <c r="J74" s="40"/>
      <c r="K74" s="40"/>
      <c r="L74" s="40"/>
      <c r="M74" s="40"/>
      <c r="N74" s="40"/>
      <c r="O74" s="40"/>
    </row>
    <row r="75" spans="2:25" x14ac:dyDescent="0.35">
      <c r="E75" s="5"/>
    </row>
    <row r="76" spans="2:25" x14ac:dyDescent="0.35">
      <c r="B76" s="27" t="s">
        <v>26</v>
      </c>
      <c r="E76" s="5"/>
    </row>
    <row r="77" spans="2:25" x14ac:dyDescent="0.4">
      <c r="B77" s="22" t="s">
        <v>76</v>
      </c>
      <c r="C77" s="22"/>
      <c r="D77" s="42"/>
      <c r="E77" s="5"/>
      <c r="F77" s="39">
        <v>0.1</v>
      </c>
      <c r="G77" s="39">
        <v>0.1</v>
      </c>
      <c r="H77" s="39">
        <v>0.1</v>
      </c>
      <c r="I77" s="39">
        <v>0.1</v>
      </c>
      <c r="J77" s="40"/>
    </row>
    <row r="78" spans="2:25" x14ac:dyDescent="0.4">
      <c r="B78" s="22" t="s">
        <v>25</v>
      </c>
      <c r="C78" s="22"/>
      <c r="D78" s="54"/>
      <c r="E78" s="5">
        <f>($J$70*D78)/12</f>
        <v>0</v>
      </c>
      <c r="F78" s="40"/>
      <c r="G78" s="40"/>
      <c r="H78" s="40"/>
      <c r="I78" s="40"/>
      <c r="J78" s="27" t="s">
        <v>52</v>
      </c>
      <c r="U78" s="27" t="s">
        <v>89</v>
      </c>
      <c r="V78" s="27"/>
      <c r="W78" s="27"/>
      <c r="X78" s="27"/>
      <c r="Y78" s="27"/>
    </row>
    <row r="79" spans="2:25" x14ac:dyDescent="0.4">
      <c r="B79" s="22" t="s">
        <v>24</v>
      </c>
      <c r="C79" s="22"/>
      <c r="D79" s="43">
        <v>1E-3</v>
      </c>
      <c r="E79" s="5">
        <f>($J$70*D79)/12</f>
        <v>98644.416666666672</v>
      </c>
      <c r="F79" s="40"/>
      <c r="G79" s="40"/>
      <c r="H79" s="40"/>
      <c r="I79" s="40"/>
      <c r="J79" s="27" t="s">
        <v>27</v>
      </c>
      <c r="U79" s="27" t="s">
        <v>90</v>
      </c>
      <c r="V79" s="6">
        <v>1</v>
      </c>
      <c r="W79" s="52">
        <f>1648628.56641109+1000000</f>
        <v>2648628.5664110901</v>
      </c>
      <c r="X79" s="53">
        <f>W79*0.25</f>
        <v>662157.14160277252</v>
      </c>
      <c r="Y79" s="27" t="s">
        <v>91</v>
      </c>
    </row>
    <row r="80" spans="2:25" x14ac:dyDescent="0.4">
      <c r="B80" s="22" t="s">
        <v>54</v>
      </c>
      <c r="C80" s="22"/>
      <c r="E80" s="17">
        <f>7500000/12</f>
        <v>625000</v>
      </c>
      <c r="F80" s="40"/>
      <c r="G80" s="40"/>
      <c r="H80" s="40"/>
      <c r="I80" s="40"/>
      <c r="J80" s="40"/>
      <c r="U80" s="27" t="s">
        <v>92</v>
      </c>
      <c r="V80" s="6">
        <v>1</v>
      </c>
      <c r="W80" s="52">
        <v>684286.29333333333</v>
      </c>
      <c r="X80" s="53">
        <f>W80*0.25</f>
        <v>171071.57333333333</v>
      </c>
      <c r="Y80" s="27" t="s">
        <v>91</v>
      </c>
    </row>
    <row r="81" spans="2:25" x14ac:dyDescent="0.4">
      <c r="B81" s="22" t="s">
        <v>48</v>
      </c>
      <c r="C81" s="22"/>
      <c r="E81" s="17"/>
      <c r="F81" s="40"/>
      <c r="G81" s="40"/>
      <c r="H81" s="40"/>
      <c r="I81" s="40"/>
      <c r="J81" s="40"/>
      <c r="U81" s="27"/>
      <c r="V81" s="27"/>
      <c r="W81" s="27"/>
      <c r="X81" s="27"/>
      <c r="Y81" s="27"/>
    </row>
    <row r="82" spans="2:25" x14ac:dyDescent="0.4">
      <c r="B82" s="22" t="s">
        <v>23</v>
      </c>
      <c r="C82" s="22"/>
      <c r="E82" s="17">
        <v>200000</v>
      </c>
      <c r="F82" s="40"/>
      <c r="G82" s="56"/>
      <c r="H82" s="40"/>
      <c r="I82" s="40"/>
      <c r="J82" s="40"/>
      <c r="U82" s="27"/>
      <c r="V82" s="27"/>
      <c r="W82" s="27"/>
      <c r="X82" s="51">
        <f>SUM(X79:X80)</f>
        <v>833228.71493610588</v>
      </c>
      <c r="Y82" s="27"/>
    </row>
    <row r="83" spans="2:25" x14ac:dyDescent="0.4">
      <c r="B83" s="22" t="s">
        <v>39</v>
      </c>
      <c r="C83" s="22"/>
      <c r="E83" s="17">
        <v>0</v>
      </c>
      <c r="F83" s="40"/>
      <c r="G83" s="40"/>
      <c r="H83" s="40"/>
      <c r="I83" s="40"/>
      <c r="J83" s="40"/>
    </row>
    <row r="84" spans="2:25" x14ac:dyDescent="0.4">
      <c r="B84" s="22" t="s">
        <v>38</v>
      </c>
      <c r="C84" s="22"/>
      <c r="E84" s="17">
        <v>0</v>
      </c>
      <c r="F84" s="40"/>
      <c r="G84" s="40"/>
      <c r="H84" s="40"/>
      <c r="I84" s="40"/>
      <c r="J84" s="40"/>
    </row>
    <row r="85" spans="2:25" x14ac:dyDescent="0.4">
      <c r="B85" s="22" t="s">
        <v>22</v>
      </c>
      <c r="C85" s="22"/>
      <c r="E85" s="17">
        <v>0</v>
      </c>
      <c r="F85" s="40"/>
      <c r="G85" s="40"/>
      <c r="H85" s="40"/>
      <c r="I85" s="40"/>
      <c r="J85" s="40"/>
    </row>
    <row r="86" spans="2:25" x14ac:dyDescent="0.4">
      <c r="B86" s="22" t="s">
        <v>99</v>
      </c>
      <c r="C86" s="22"/>
      <c r="E86" s="17">
        <v>1833333</v>
      </c>
      <c r="F86" s="40"/>
      <c r="G86" s="40"/>
      <c r="H86" s="40"/>
      <c r="I86" s="40"/>
      <c r="J86" s="40"/>
    </row>
    <row r="87" spans="2:25" x14ac:dyDescent="0.4">
      <c r="B87" s="22" t="s">
        <v>55</v>
      </c>
      <c r="C87" s="22"/>
      <c r="E87" s="17">
        <v>125000</v>
      </c>
      <c r="F87" s="40"/>
      <c r="G87" s="40"/>
      <c r="H87" s="40"/>
      <c r="I87" s="40"/>
      <c r="J87" s="40"/>
    </row>
    <row r="88" spans="2:25" x14ac:dyDescent="0.4">
      <c r="B88" s="22" t="s">
        <v>56</v>
      </c>
      <c r="C88" s="22"/>
      <c r="E88" s="17">
        <v>100000</v>
      </c>
      <c r="F88" s="40"/>
      <c r="G88" s="40"/>
      <c r="H88" s="40"/>
      <c r="I88" s="40"/>
      <c r="J88" s="40"/>
    </row>
    <row r="89" spans="2:25" x14ac:dyDescent="0.35">
      <c r="B89" s="27" t="s">
        <v>57</v>
      </c>
      <c r="E89" s="17">
        <v>50000</v>
      </c>
    </row>
    <row r="90" spans="2:25" x14ac:dyDescent="0.35">
      <c r="B90" s="27" t="s">
        <v>75</v>
      </c>
      <c r="D90" s="42">
        <v>0.03</v>
      </c>
      <c r="E90" s="17">
        <v>500000</v>
      </c>
    </row>
    <row r="96" spans="2:25" ht="21" x14ac:dyDescent="0.35">
      <c r="B96" s="57" t="s">
        <v>100</v>
      </c>
    </row>
    <row r="97" spans="2:5" x14ac:dyDescent="0.35">
      <c r="B97" s="58" t="s">
        <v>107</v>
      </c>
      <c r="E97" s="56">
        <v>6000000</v>
      </c>
    </row>
    <row r="98" spans="2:5" x14ac:dyDescent="0.35">
      <c r="B98" s="27" t="s">
        <v>101</v>
      </c>
    </row>
    <row r="99" spans="2:5" x14ac:dyDescent="0.35">
      <c r="B99" s="27" t="s">
        <v>102</v>
      </c>
    </row>
    <row r="100" spans="2:5" x14ac:dyDescent="0.35">
      <c r="B100" s="27" t="s">
        <v>103</v>
      </c>
    </row>
    <row r="101" spans="2:5" x14ac:dyDescent="0.35">
      <c r="B101" s="27" t="s">
        <v>104</v>
      </c>
    </row>
    <row r="102" spans="2:5" x14ac:dyDescent="0.35">
      <c r="B102" s="27" t="s">
        <v>105</v>
      </c>
      <c r="E102" s="56"/>
    </row>
    <row r="103" spans="2:5" x14ac:dyDescent="0.35">
      <c r="E103" s="56"/>
    </row>
    <row r="104" spans="2:5" x14ac:dyDescent="0.35">
      <c r="B104" s="58" t="s">
        <v>106</v>
      </c>
      <c r="E104" s="56">
        <v>7000000</v>
      </c>
    </row>
    <row r="105" spans="2:5" x14ac:dyDescent="0.35">
      <c r="B105" s="27" t="s">
        <v>108</v>
      </c>
      <c r="E105" s="56"/>
    </row>
    <row r="106" spans="2:5" x14ac:dyDescent="0.35">
      <c r="B106" s="27" t="s">
        <v>109</v>
      </c>
      <c r="E106" s="56"/>
    </row>
    <row r="107" spans="2:5" x14ac:dyDescent="0.35">
      <c r="B107" s="27" t="s">
        <v>104</v>
      </c>
      <c r="E107" s="56"/>
    </row>
    <row r="108" spans="2:5" x14ac:dyDescent="0.35">
      <c r="B108" s="27" t="s">
        <v>110</v>
      </c>
      <c r="E108" s="56"/>
    </row>
    <row r="109" spans="2:5" x14ac:dyDescent="0.35">
      <c r="B109" s="27" t="s">
        <v>122</v>
      </c>
      <c r="E109" s="56"/>
    </row>
    <row r="110" spans="2:5" x14ac:dyDescent="0.35">
      <c r="B110" s="27" t="s">
        <v>123</v>
      </c>
      <c r="E110" s="56"/>
    </row>
    <row r="111" spans="2:5" x14ac:dyDescent="0.35">
      <c r="E111" s="56"/>
    </row>
    <row r="112" spans="2:5" x14ac:dyDescent="0.35">
      <c r="B112" s="58" t="s">
        <v>111</v>
      </c>
      <c r="E112" s="56">
        <v>40000000</v>
      </c>
    </row>
    <row r="113" spans="2:6" x14ac:dyDescent="0.35">
      <c r="B113" s="27" t="s">
        <v>112</v>
      </c>
      <c r="E113" s="56"/>
    </row>
    <row r="114" spans="2:6" x14ac:dyDescent="0.35">
      <c r="B114" s="27" t="s">
        <v>124</v>
      </c>
      <c r="E114" s="56"/>
    </row>
    <row r="115" spans="2:6" x14ac:dyDescent="0.35">
      <c r="B115" s="27" t="s">
        <v>113</v>
      </c>
      <c r="E115" s="56"/>
    </row>
    <row r="116" spans="2:6" x14ac:dyDescent="0.35">
      <c r="B116" s="27" t="s">
        <v>114</v>
      </c>
      <c r="E116" s="56"/>
    </row>
    <row r="117" spans="2:6" x14ac:dyDescent="0.35">
      <c r="E117" s="56"/>
    </row>
    <row r="118" spans="2:6" x14ac:dyDescent="0.35">
      <c r="B118" s="58" t="s">
        <v>115</v>
      </c>
      <c r="E118" s="56">
        <v>50000000</v>
      </c>
    </row>
    <row r="119" spans="2:6" x14ac:dyDescent="0.35">
      <c r="B119" s="27" t="s">
        <v>116</v>
      </c>
      <c r="E119" s="56"/>
    </row>
    <row r="120" spans="2:6" x14ac:dyDescent="0.35">
      <c r="B120" s="27" t="s">
        <v>121</v>
      </c>
      <c r="E120" s="56"/>
    </row>
    <row r="121" spans="2:6" x14ac:dyDescent="0.35">
      <c r="B121" s="27" t="s">
        <v>117</v>
      </c>
    </row>
    <row r="122" spans="2:6" x14ac:dyDescent="0.35">
      <c r="B122" s="27" t="s">
        <v>118</v>
      </c>
    </row>
    <row r="123" spans="2:6" x14ac:dyDescent="0.35">
      <c r="B123" s="27" t="s">
        <v>119</v>
      </c>
    </row>
    <row r="124" spans="2:6" x14ac:dyDescent="0.35">
      <c r="B124" s="27" t="s">
        <v>120</v>
      </c>
      <c r="F124" s="5">
        <f>SUM(E97:E123)</f>
        <v>103000000</v>
      </c>
    </row>
    <row r="125" spans="2:6" x14ac:dyDescent="0.35">
      <c r="E125" s="35">
        <f>F124/36</f>
        <v>2861111.111111111</v>
      </c>
    </row>
  </sheetData>
  <mergeCells count="2">
    <mergeCell ref="E50:P50"/>
    <mergeCell ref="E45:P45"/>
  </mergeCells>
  <phoneticPr fontId="2" type="noConversion"/>
  <dataValidations count="1">
    <dataValidation type="list" allowBlank="1" showInputMessage="1" showErrorMessage="1" sqref="D5 D22 D31" xr:uid="{00000000-0002-0000-0000-000000000000}">
      <formula1>"Upside,Downside,Base case"</formula1>
    </dataValidation>
  </dataValidations>
  <pageMargins left="0.7" right="0.7" top="0.75" bottom="0.75" header="0.3" footer="0.3"/>
  <pageSetup scale="51" orientation="portrait" r:id="rId1"/>
  <rowBreaks count="1" manualBreakCount="1">
    <brk id="63" max="16383" man="1"/>
  </rowBreaks>
  <ignoredErrors>
    <ignoredError sqref="F8:P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Right="0"/>
  </sheetPr>
  <dimension ref="A2:Y52"/>
  <sheetViews>
    <sheetView showGridLines="0" view="pageBreakPreview" zoomScaleNormal="100" zoomScaleSheetLayoutView="100" workbookViewId="0">
      <pane xSplit="3" ySplit="4" topLeftCell="H27" activePane="bottomRight" state="frozen"/>
      <selection pane="topRight" activeCell="D1" sqref="D1"/>
      <selection pane="bottomLeft" activeCell="A5" sqref="A5"/>
      <selection pane="bottomRight" activeCell="K35" sqref="K35"/>
    </sheetView>
  </sheetViews>
  <sheetFormatPr defaultColWidth="9.08984375" defaultRowHeight="16" outlineLevelRow="1" outlineLevelCol="1" x14ac:dyDescent="0.35"/>
  <cols>
    <col min="1" max="1" width="1.453125" style="6" customWidth="1"/>
    <col min="2" max="2" width="51.453125" style="14" bestFit="1" customWidth="1"/>
    <col min="3" max="3" width="7.08984375" style="6" bestFit="1" customWidth="1"/>
    <col min="4" max="8" width="14.36328125" style="6" bestFit="1" customWidth="1" outlineLevel="1"/>
    <col min="9" max="9" width="14.90625" style="6" bestFit="1" customWidth="1" outlineLevel="1"/>
    <col min="10" max="10" width="14.36328125" style="6" bestFit="1" customWidth="1" outlineLevel="1"/>
    <col min="11" max="11" width="14.08984375" style="6" bestFit="1" customWidth="1" outlineLevel="1"/>
    <col min="12" max="12" width="14.90625" style="6" bestFit="1" customWidth="1" outlineLevel="1"/>
    <col min="13" max="13" width="14.08984375" style="6" bestFit="1" customWidth="1" outlineLevel="1"/>
    <col min="14" max="14" width="14.36328125" style="6" bestFit="1" customWidth="1" outlineLevel="1"/>
    <col min="15" max="15" width="16.453125" style="6" customWidth="1" outlineLevel="1"/>
    <col min="16" max="16" width="17.54296875" style="10" bestFit="1" customWidth="1" collapsed="1"/>
    <col min="17" max="17" width="21.54296875" style="15" hidden="1" customWidth="1" outlineLevel="1"/>
    <col min="18" max="18" width="22" style="15" hidden="1" customWidth="1" outlineLevel="1"/>
    <col min="19" max="19" width="21" style="15" hidden="1" customWidth="1" outlineLevel="1"/>
    <col min="20" max="20" width="21.90625" style="15" hidden="1" customWidth="1" outlineLevel="1"/>
    <col min="21" max="21" width="21.90625" style="6" customWidth="1"/>
    <col min="22" max="16384" width="9.08984375" style="6"/>
  </cols>
  <sheetData>
    <row r="2" spans="1:25" ht="16.5" thickBot="1" x14ac:dyDescent="0.4">
      <c r="A2" s="1" t="s">
        <v>44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4"/>
      <c r="S2" s="4"/>
      <c r="T2" s="4"/>
      <c r="U2" s="5"/>
    </row>
    <row r="3" spans="1:25" s="10" customFormat="1" ht="17" thickTop="1" thickBot="1" x14ac:dyDescent="0.4">
      <c r="A3" s="7"/>
      <c r="B3" s="8"/>
      <c r="C3" s="7"/>
      <c r="D3" s="9" t="s">
        <v>77</v>
      </c>
      <c r="E3" s="9" t="s">
        <v>78</v>
      </c>
      <c r="F3" s="9" t="s">
        <v>79</v>
      </c>
      <c r="G3" s="9" t="s">
        <v>80</v>
      </c>
      <c r="H3" s="9" t="s">
        <v>0</v>
      </c>
      <c r="I3" s="9" t="s">
        <v>81</v>
      </c>
      <c r="J3" s="9" t="s">
        <v>82</v>
      </c>
      <c r="K3" s="9" t="s">
        <v>83</v>
      </c>
      <c r="L3" s="9" t="s">
        <v>84</v>
      </c>
      <c r="M3" s="9" t="s">
        <v>85</v>
      </c>
      <c r="N3" s="9" t="s">
        <v>86</v>
      </c>
      <c r="O3" s="9" t="s">
        <v>87</v>
      </c>
      <c r="P3" s="7" t="s">
        <v>37</v>
      </c>
      <c r="Q3" s="7" t="s">
        <v>40</v>
      </c>
      <c r="R3" s="7" t="s">
        <v>41</v>
      </c>
      <c r="S3" s="7" t="s">
        <v>42</v>
      </c>
      <c r="T3" s="7" t="s">
        <v>43</v>
      </c>
      <c r="U3" s="5"/>
      <c r="V3" s="6"/>
      <c r="W3" s="6"/>
      <c r="X3" s="6"/>
      <c r="Y3" s="6"/>
    </row>
    <row r="4" spans="1:25" ht="17" thickTop="1" thickBot="1" x14ac:dyDescent="0.4">
      <c r="A4" s="7"/>
      <c r="B4" s="8"/>
      <c r="C4" s="7"/>
      <c r="D4" s="7" t="s">
        <v>88</v>
      </c>
      <c r="E4" s="7" t="s">
        <v>88</v>
      </c>
      <c r="F4" s="7" t="s">
        <v>88</v>
      </c>
      <c r="G4" s="7" t="s">
        <v>88</v>
      </c>
      <c r="H4" s="7" t="s">
        <v>88</v>
      </c>
      <c r="I4" s="7" t="s">
        <v>88</v>
      </c>
      <c r="J4" s="7" t="s">
        <v>88</v>
      </c>
      <c r="K4" s="7" t="s">
        <v>88</v>
      </c>
      <c r="L4" s="7" t="s">
        <v>88</v>
      </c>
      <c r="M4" s="7" t="s">
        <v>88</v>
      </c>
      <c r="N4" s="7" t="s">
        <v>88</v>
      </c>
      <c r="O4" s="7" t="s">
        <v>88</v>
      </c>
      <c r="P4" s="7" t="s">
        <v>1</v>
      </c>
      <c r="Q4" s="7" t="s">
        <v>1</v>
      </c>
      <c r="R4" s="7" t="s">
        <v>1</v>
      </c>
      <c r="S4" s="7" t="s">
        <v>1</v>
      </c>
      <c r="T4" s="7" t="s">
        <v>1</v>
      </c>
      <c r="U4" s="5"/>
    </row>
    <row r="5" spans="1:25" ht="18" customHeight="1" thickTop="1" thickBot="1" x14ac:dyDescent="0.4">
      <c r="B5" s="11" t="s">
        <v>2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3"/>
      <c r="R5" s="13"/>
      <c r="S5" s="13"/>
      <c r="T5" s="13"/>
      <c r="U5" s="5"/>
    </row>
    <row r="6" spans="1:25" ht="18" customHeight="1" x14ac:dyDescent="0.35">
      <c r="B6" s="14" t="s">
        <v>59</v>
      </c>
      <c r="D6" s="17">
        <f>'Assumption-Inputs'!E5</f>
        <v>29277750</v>
      </c>
      <c r="E6" s="17">
        <f>'Assumption-Inputs'!F5</f>
        <v>29277750</v>
      </c>
      <c r="F6" s="17">
        <f>'Assumption-Inputs'!G5</f>
        <v>29277750</v>
      </c>
      <c r="G6" s="17">
        <f>'Assumption-Inputs'!H5</f>
        <v>29277750</v>
      </c>
      <c r="H6" s="17">
        <f>'Assumption-Inputs'!I5</f>
        <v>29277750</v>
      </c>
      <c r="I6" s="17">
        <f>'Assumption-Inputs'!J5</f>
        <v>29277750</v>
      </c>
      <c r="J6" s="17">
        <f>'Assumption-Inputs'!K5</f>
        <v>29277750</v>
      </c>
      <c r="K6" s="17">
        <f>'Assumption-Inputs'!L5</f>
        <v>29277750</v>
      </c>
      <c r="L6" s="17">
        <f>'Assumption-Inputs'!M5</f>
        <v>29277750</v>
      </c>
      <c r="M6" s="17">
        <f>'Assumption-Inputs'!N5</f>
        <v>29277750</v>
      </c>
      <c r="N6" s="17">
        <f>'Assumption-Inputs'!O5</f>
        <v>29277750</v>
      </c>
      <c r="O6" s="17">
        <f>'Assumption-Inputs'!P5</f>
        <v>29277750</v>
      </c>
      <c r="P6" s="16">
        <f>SUM(D6:O6)</f>
        <v>351333000</v>
      </c>
      <c r="Q6" s="17">
        <f>P6*(1+'Assumption-Inputs'!F$67)*(1+'Assumption-Inputs'!F$70)</f>
        <v>484839539.99999988</v>
      </c>
      <c r="R6" s="17">
        <f>Q6*(1+'Assumption-Inputs'!G$67)*(1+'Assumption-Inputs'!G$70)</f>
        <v>669078565.19999969</v>
      </c>
      <c r="S6" s="17">
        <f>R6*(1+'Assumption-Inputs'!H$67)*(1+'Assumption-Inputs'!H$70)</f>
        <v>923328419.97599947</v>
      </c>
      <c r="T6" s="17">
        <f>S6*(1+'Assumption-Inputs'!I$67)*(1+'Assumption-Inputs'!I$70)</f>
        <v>1274193219.5668793</v>
      </c>
      <c r="U6" s="5"/>
    </row>
    <row r="7" spans="1:25" ht="18" hidden="1" customHeight="1" x14ac:dyDescent="0.35">
      <c r="B7" s="14" t="s">
        <v>73</v>
      </c>
      <c r="D7" s="17">
        <f>'Assumption-Inputs'!H10</f>
        <v>0</v>
      </c>
      <c r="E7" s="17">
        <f>'Assumption-Inputs'!F10</f>
        <v>0</v>
      </c>
      <c r="F7" s="17">
        <f>'Assumption-Inputs'!G10</f>
        <v>0</v>
      </c>
      <c r="G7" s="17">
        <f>'Assumption-Inputs'!H10</f>
        <v>0</v>
      </c>
      <c r="H7" s="17">
        <f>'Assumption-Inputs'!I10</f>
        <v>0</v>
      </c>
      <c r="I7" s="17">
        <f>'Assumption-Inputs'!J10</f>
        <v>0</v>
      </c>
      <c r="J7" s="17">
        <f>'Assumption-Inputs'!K10</f>
        <v>0</v>
      </c>
      <c r="K7" s="17">
        <f>'Assumption-Inputs'!L10</f>
        <v>0</v>
      </c>
      <c r="L7" s="17">
        <f>'Assumption-Inputs'!M10</f>
        <v>0</v>
      </c>
      <c r="M7" s="17">
        <f>'Assumption-Inputs'!N10</f>
        <v>0</v>
      </c>
      <c r="N7" s="17">
        <f>'Assumption-Inputs'!O10</f>
        <v>0</v>
      </c>
      <c r="O7" s="17">
        <f>'Assumption-Inputs'!P10</f>
        <v>0</v>
      </c>
      <c r="P7" s="16">
        <f t="shared" ref="P7:P9" si="0">SUM(D7:O7)</f>
        <v>0</v>
      </c>
      <c r="Q7" s="17">
        <f>P7*(1+'Assumption-Inputs'!F$67)*(1+'Assumption-Inputs'!F$70)</f>
        <v>0</v>
      </c>
      <c r="R7" s="17">
        <f>Q7*(1+'Assumption-Inputs'!G$67)*(1+'Assumption-Inputs'!G$70)</f>
        <v>0</v>
      </c>
      <c r="S7" s="17">
        <f>R7*(1+'Assumption-Inputs'!H$67)*(1+'Assumption-Inputs'!H$70)</f>
        <v>0</v>
      </c>
      <c r="T7" s="17">
        <f>S7*(1+'Assumption-Inputs'!I$67)*(1+'Assumption-Inputs'!I$70)</f>
        <v>0</v>
      </c>
      <c r="U7" s="5"/>
    </row>
    <row r="8" spans="1:25" ht="18" hidden="1" customHeight="1" x14ac:dyDescent="0.35">
      <c r="B8" s="14" t="s">
        <v>65</v>
      </c>
      <c r="D8" s="17">
        <f>'Assumption-Inputs'!E15</f>
        <v>0</v>
      </c>
      <c r="E8" s="17">
        <f>'Assumption-Inputs'!F15</f>
        <v>0</v>
      </c>
      <c r="F8" s="17">
        <f>'Assumption-Inputs'!G15</f>
        <v>0</v>
      </c>
      <c r="G8" s="17">
        <f>'Assumption-Inputs'!H15</f>
        <v>0</v>
      </c>
      <c r="H8" s="17">
        <f>'Assumption-Inputs'!I15</f>
        <v>0</v>
      </c>
      <c r="I8" s="17">
        <f>'Assumption-Inputs'!J15</f>
        <v>0</v>
      </c>
      <c r="J8" s="17">
        <f>'Assumption-Inputs'!K15</f>
        <v>0</v>
      </c>
      <c r="K8" s="17">
        <f>'Assumption-Inputs'!L15</f>
        <v>0</v>
      </c>
      <c r="L8" s="17">
        <f>'Assumption-Inputs'!M15</f>
        <v>0</v>
      </c>
      <c r="M8" s="17">
        <f>'Assumption-Inputs'!N15</f>
        <v>0</v>
      </c>
      <c r="N8" s="17">
        <f>'Assumption-Inputs'!O15</f>
        <v>0</v>
      </c>
      <c r="O8" s="17">
        <f>'Assumption-Inputs'!P15</f>
        <v>0</v>
      </c>
      <c r="P8" s="16">
        <f t="shared" si="0"/>
        <v>0</v>
      </c>
      <c r="Q8" s="17">
        <f>P8*(1+'Assumption-Inputs'!F$67)*(1+'Assumption-Inputs'!F$70)</f>
        <v>0</v>
      </c>
      <c r="R8" s="17">
        <f>Q8*(1+'Assumption-Inputs'!G$67)*(1+'Assumption-Inputs'!G$70)</f>
        <v>0</v>
      </c>
      <c r="S8" s="17">
        <f>R8*(1+'Assumption-Inputs'!H$67)*(1+'Assumption-Inputs'!H$70)</f>
        <v>0</v>
      </c>
      <c r="T8" s="17">
        <f>S8*(1+'Assumption-Inputs'!I$67)*(1+'Assumption-Inputs'!I$70)</f>
        <v>0</v>
      </c>
      <c r="U8" s="5"/>
    </row>
    <row r="9" spans="1:25" ht="18" customHeight="1" x14ac:dyDescent="0.35">
      <c r="B9" s="14" t="s">
        <v>74</v>
      </c>
      <c r="D9" s="17">
        <f>'Assumption-Inputs'!E18</f>
        <v>69366666.666666657</v>
      </c>
      <c r="E9" s="17">
        <f>'Assumption-Inputs'!F18</f>
        <v>69366666.666666657</v>
      </c>
      <c r="F9" s="17">
        <f>'Assumption-Inputs'!G18</f>
        <v>69366666.666666657</v>
      </c>
      <c r="G9" s="17">
        <f>'Assumption-Inputs'!H18</f>
        <v>69366666.666666657</v>
      </c>
      <c r="H9" s="17">
        <f>'Assumption-Inputs'!I18</f>
        <v>69366666.666666657</v>
      </c>
      <c r="I9" s="17">
        <f>'Assumption-Inputs'!J18</f>
        <v>69366666.666666657</v>
      </c>
      <c r="J9" s="17">
        <f>'Assumption-Inputs'!K18</f>
        <v>69366666.666666657</v>
      </c>
      <c r="K9" s="17">
        <f>'Assumption-Inputs'!L18</f>
        <v>69366666.666666657</v>
      </c>
      <c r="L9" s="17">
        <f>'Assumption-Inputs'!M18</f>
        <v>69366666.666666657</v>
      </c>
      <c r="M9" s="17">
        <f>'Assumption-Inputs'!N18</f>
        <v>69366666.666666657</v>
      </c>
      <c r="N9" s="17">
        <f>'Assumption-Inputs'!O18</f>
        <v>69366666.666666657</v>
      </c>
      <c r="O9" s="17">
        <f>'Assumption-Inputs'!P18</f>
        <v>69366666.666666657</v>
      </c>
      <c r="P9" s="16">
        <f t="shared" si="0"/>
        <v>832399999.99999964</v>
      </c>
      <c r="Q9" s="17">
        <f>P9*(1+'Assumption-Inputs'!F$67)*(1+'Assumption-Inputs'!F$70)</f>
        <v>1148711999.9999993</v>
      </c>
      <c r="R9" s="17">
        <f>Q9*(1+'Assumption-Inputs'!G$67)*(1+'Assumption-Inputs'!G$70)</f>
        <v>1585222559.9999988</v>
      </c>
      <c r="S9" s="17">
        <f>R9*(1+'Assumption-Inputs'!H$67)*(1+'Assumption-Inputs'!H$70)</f>
        <v>2187607132.7999983</v>
      </c>
      <c r="T9" s="17">
        <f>S9*(1+'Assumption-Inputs'!I$67)*(1+'Assumption-Inputs'!I$70)</f>
        <v>3018897843.2639976</v>
      </c>
      <c r="U9" s="5"/>
    </row>
    <row r="10" spans="1:25" ht="16.5" thickBot="1" x14ac:dyDescent="0.4">
      <c r="B10" s="11"/>
      <c r="C10" s="11"/>
      <c r="D10" s="19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18"/>
      <c r="Q10" s="18"/>
      <c r="R10" s="18"/>
      <c r="S10" s="18"/>
      <c r="T10" s="18"/>
      <c r="U10" s="5"/>
    </row>
    <row r="11" spans="1:25" s="10" customFormat="1" ht="16.5" thickBot="1" x14ac:dyDescent="0.4">
      <c r="B11" s="11" t="s">
        <v>3</v>
      </c>
      <c r="C11" s="11"/>
      <c r="D11" s="19">
        <f t="shared" ref="D11:T11" si="1">SUM(D6:D9)</f>
        <v>98644416.666666657</v>
      </c>
      <c r="E11" s="23">
        <f t="shared" si="1"/>
        <v>98644416.666666657</v>
      </c>
      <c r="F11" s="23">
        <f t="shared" si="1"/>
        <v>98644416.666666657</v>
      </c>
      <c r="G11" s="23">
        <f t="shared" si="1"/>
        <v>98644416.666666657</v>
      </c>
      <c r="H11" s="23">
        <f t="shared" si="1"/>
        <v>98644416.666666657</v>
      </c>
      <c r="I11" s="23">
        <f t="shared" si="1"/>
        <v>98644416.666666657</v>
      </c>
      <c r="J11" s="23">
        <f t="shared" si="1"/>
        <v>98644416.666666657</v>
      </c>
      <c r="K11" s="23">
        <f t="shared" si="1"/>
        <v>98644416.666666657</v>
      </c>
      <c r="L11" s="23">
        <f t="shared" si="1"/>
        <v>98644416.666666657</v>
      </c>
      <c r="M11" s="23">
        <f t="shared" si="1"/>
        <v>98644416.666666657</v>
      </c>
      <c r="N11" s="23">
        <f t="shared" si="1"/>
        <v>98644416.666666657</v>
      </c>
      <c r="O11" s="23">
        <f t="shared" si="1"/>
        <v>98644416.666666657</v>
      </c>
      <c r="P11" s="23">
        <f t="shared" si="1"/>
        <v>1183732999.9999995</v>
      </c>
      <c r="Q11" s="23">
        <f t="shared" si="1"/>
        <v>1633551539.999999</v>
      </c>
      <c r="R11" s="23">
        <f t="shared" si="1"/>
        <v>2254301125.1999984</v>
      </c>
      <c r="S11" s="23">
        <f t="shared" si="1"/>
        <v>3110935552.7759976</v>
      </c>
      <c r="T11" s="23">
        <f t="shared" si="1"/>
        <v>4293091062.8308768</v>
      </c>
      <c r="U11" s="5"/>
      <c r="V11" s="6"/>
      <c r="W11" s="6"/>
      <c r="X11" s="6"/>
      <c r="Y11" s="6"/>
    </row>
    <row r="12" spans="1:25" x14ac:dyDescent="0.35"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6"/>
      <c r="Q12" s="17"/>
      <c r="R12" s="17"/>
      <c r="S12" s="17"/>
      <c r="T12" s="17"/>
      <c r="U12" s="5"/>
    </row>
    <row r="13" spans="1:25" ht="16.5" thickBot="1" x14ac:dyDescent="0.4">
      <c r="B13" s="11" t="s">
        <v>4</v>
      </c>
      <c r="C13" s="12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5"/>
    </row>
    <row r="14" spans="1:25" x14ac:dyDescent="0.35">
      <c r="B14" s="27" t="s">
        <v>126</v>
      </c>
      <c r="C14" s="42">
        <v>0.4</v>
      </c>
      <c r="D14" s="17">
        <f>$C$14*D$11</f>
        <v>39457766.666666664</v>
      </c>
      <c r="E14" s="17">
        <f>D14</f>
        <v>39457766.666666664</v>
      </c>
      <c r="F14" s="17">
        <f t="shared" ref="F14:O14" si="2">E14</f>
        <v>39457766.666666664</v>
      </c>
      <c r="G14" s="17">
        <f t="shared" si="2"/>
        <v>39457766.666666664</v>
      </c>
      <c r="H14" s="17">
        <f t="shared" si="2"/>
        <v>39457766.666666664</v>
      </c>
      <c r="I14" s="17">
        <f t="shared" si="2"/>
        <v>39457766.666666664</v>
      </c>
      <c r="J14" s="17">
        <f t="shared" si="2"/>
        <v>39457766.666666664</v>
      </c>
      <c r="K14" s="17">
        <f t="shared" si="2"/>
        <v>39457766.666666664</v>
      </c>
      <c r="L14" s="17">
        <f t="shared" si="2"/>
        <v>39457766.666666664</v>
      </c>
      <c r="M14" s="17">
        <f t="shared" si="2"/>
        <v>39457766.666666664</v>
      </c>
      <c r="N14" s="17">
        <f t="shared" si="2"/>
        <v>39457766.666666664</v>
      </c>
      <c r="O14" s="17">
        <f t="shared" si="2"/>
        <v>39457766.666666664</v>
      </c>
      <c r="P14" s="16">
        <f>SUM(D14:O14)</f>
        <v>473493200.00000006</v>
      </c>
      <c r="Q14" s="17">
        <f>P$11*(1+'Assumption-Inputs'!F$71)*'Assumption-Inputs'!$D$71</f>
        <v>520842519.99999982</v>
      </c>
      <c r="R14" s="17">
        <f>Q$11*(1+'Assumption-Inputs'!G$71)*'Assumption-Inputs'!$D$71</f>
        <v>705694265.27999973</v>
      </c>
      <c r="S14" s="17">
        <f>R$11*(1+'Assumption-Inputs'!H$71)*'Assumption-Inputs'!$D$71</f>
        <v>973858086.08639932</v>
      </c>
      <c r="T14" s="17">
        <f>S$11*(1+'Assumption-Inputs'!I$71)*'Assumption-Inputs'!$D$71</f>
        <v>1319036674.3770232</v>
      </c>
      <c r="U14" s="5"/>
    </row>
    <row r="15" spans="1:25" x14ac:dyDescent="0.35">
      <c r="B15" s="27" t="s">
        <v>49</v>
      </c>
      <c r="C15" s="42">
        <v>7.0000000000000007E-2</v>
      </c>
      <c r="D15" s="17">
        <f>$C$15*D$11</f>
        <v>6905109.166666667</v>
      </c>
      <c r="E15" s="17">
        <f t="shared" ref="E15:O15" si="3">D15</f>
        <v>6905109.166666667</v>
      </c>
      <c r="F15" s="17">
        <f t="shared" si="3"/>
        <v>6905109.166666667</v>
      </c>
      <c r="G15" s="17">
        <f t="shared" si="3"/>
        <v>6905109.166666667</v>
      </c>
      <c r="H15" s="17">
        <f t="shared" si="3"/>
        <v>6905109.166666667</v>
      </c>
      <c r="I15" s="17">
        <f t="shared" si="3"/>
        <v>6905109.166666667</v>
      </c>
      <c r="J15" s="17">
        <f t="shared" si="3"/>
        <v>6905109.166666667</v>
      </c>
      <c r="K15" s="17">
        <f t="shared" si="3"/>
        <v>6905109.166666667</v>
      </c>
      <c r="L15" s="17">
        <f t="shared" si="3"/>
        <v>6905109.166666667</v>
      </c>
      <c r="M15" s="17">
        <f t="shared" si="3"/>
        <v>6905109.166666667</v>
      </c>
      <c r="N15" s="17">
        <f t="shared" si="3"/>
        <v>6905109.166666667</v>
      </c>
      <c r="O15" s="17">
        <f t="shared" si="3"/>
        <v>6905109.166666667</v>
      </c>
      <c r="P15" s="16">
        <f t="shared" ref="P15:P17" si="4">SUM(D15:O15)</f>
        <v>82861310</v>
      </c>
      <c r="Q15" s="17">
        <f>P15</f>
        <v>82861310</v>
      </c>
      <c r="R15" s="17">
        <f t="shared" ref="R15:T15" si="5">Q15</f>
        <v>82861310</v>
      </c>
      <c r="S15" s="17">
        <f t="shared" si="5"/>
        <v>82861310</v>
      </c>
      <c r="T15" s="17">
        <f t="shared" si="5"/>
        <v>82861310</v>
      </c>
      <c r="U15" s="5"/>
    </row>
    <row r="16" spans="1:25" x14ac:dyDescent="0.35">
      <c r="B16" s="27" t="s">
        <v>53</v>
      </c>
      <c r="C16" s="42">
        <v>0.02</v>
      </c>
      <c r="D16" s="17">
        <f>$C$16*D$11</f>
        <v>1972888.3333333333</v>
      </c>
      <c r="E16" s="17">
        <f t="shared" ref="E16:O16" si="6">D16</f>
        <v>1972888.3333333333</v>
      </c>
      <c r="F16" s="17">
        <f t="shared" si="6"/>
        <v>1972888.3333333333</v>
      </c>
      <c r="G16" s="17">
        <f t="shared" si="6"/>
        <v>1972888.3333333333</v>
      </c>
      <c r="H16" s="17">
        <f t="shared" si="6"/>
        <v>1972888.3333333333</v>
      </c>
      <c r="I16" s="17">
        <f t="shared" si="6"/>
        <v>1972888.3333333333</v>
      </c>
      <c r="J16" s="17">
        <f t="shared" si="6"/>
        <v>1972888.3333333333</v>
      </c>
      <c r="K16" s="17">
        <f t="shared" si="6"/>
        <v>1972888.3333333333</v>
      </c>
      <c r="L16" s="17">
        <f t="shared" si="6"/>
        <v>1972888.3333333333</v>
      </c>
      <c r="M16" s="17">
        <f t="shared" si="6"/>
        <v>1972888.3333333333</v>
      </c>
      <c r="N16" s="17">
        <f t="shared" si="6"/>
        <v>1972888.3333333333</v>
      </c>
      <c r="O16" s="17">
        <f t="shared" si="6"/>
        <v>1972888.3333333333</v>
      </c>
      <c r="P16" s="16">
        <f t="shared" si="4"/>
        <v>23674659.999999996</v>
      </c>
      <c r="Q16" s="17">
        <f>$C$16*Q11</f>
        <v>32671030.799999982</v>
      </c>
      <c r="R16" s="17">
        <f t="shared" ref="R16:T16" si="7">$C$16*R11</f>
        <v>45086022.503999971</v>
      </c>
      <c r="S16" s="17">
        <f t="shared" si="7"/>
        <v>62218711.055519953</v>
      </c>
      <c r="T16" s="17">
        <f t="shared" si="7"/>
        <v>85861821.256617531</v>
      </c>
      <c r="U16" s="5"/>
    </row>
    <row r="17" spans="2:25" x14ac:dyDescent="0.35">
      <c r="B17" s="27" t="s">
        <v>50</v>
      </c>
      <c r="C17" s="42">
        <v>0.03</v>
      </c>
      <c r="D17" s="17">
        <f>$C$17*D$11</f>
        <v>2959332.4999999995</v>
      </c>
      <c r="E17" s="17">
        <f t="shared" ref="E17:O17" si="8">D17</f>
        <v>2959332.4999999995</v>
      </c>
      <c r="F17" s="17">
        <f t="shared" si="8"/>
        <v>2959332.4999999995</v>
      </c>
      <c r="G17" s="17">
        <f t="shared" si="8"/>
        <v>2959332.4999999995</v>
      </c>
      <c r="H17" s="17">
        <f t="shared" si="8"/>
        <v>2959332.4999999995</v>
      </c>
      <c r="I17" s="17">
        <f t="shared" si="8"/>
        <v>2959332.4999999995</v>
      </c>
      <c r="J17" s="17">
        <f t="shared" si="8"/>
        <v>2959332.4999999995</v>
      </c>
      <c r="K17" s="17">
        <f t="shared" si="8"/>
        <v>2959332.4999999995</v>
      </c>
      <c r="L17" s="17">
        <f t="shared" si="8"/>
        <v>2959332.4999999995</v>
      </c>
      <c r="M17" s="17">
        <f t="shared" si="8"/>
        <v>2959332.4999999995</v>
      </c>
      <c r="N17" s="17">
        <f t="shared" si="8"/>
        <v>2959332.4999999995</v>
      </c>
      <c r="O17" s="17">
        <f t="shared" si="8"/>
        <v>2959332.4999999995</v>
      </c>
      <c r="P17" s="16">
        <f t="shared" si="4"/>
        <v>35511989.999999993</v>
      </c>
      <c r="Q17" s="17"/>
      <c r="R17" s="17"/>
      <c r="S17" s="17"/>
      <c r="T17" s="17"/>
      <c r="U17" s="5"/>
    </row>
    <row r="18" spans="2:25" ht="16.5" thickBot="1" x14ac:dyDescent="0.4">
      <c r="B18" s="11"/>
      <c r="C18" s="11"/>
      <c r="D18" s="19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5"/>
    </row>
    <row r="19" spans="2:25" s="10" customFormat="1" ht="15" customHeight="1" thickBot="1" x14ac:dyDescent="0.4">
      <c r="B19" s="11" t="s">
        <v>36</v>
      </c>
      <c r="C19" s="11"/>
      <c r="D19" s="25">
        <f t="shared" ref="D19:T19" si="9">SUM(D14:D17)</f>
        <v>51295096.666666664</v>
      </c>
      <c r="E19" s="25">
        <f t="shared" si="9"/>
        <v>51295096.666666664</v>
      </c>
      <c r="F19" s="25">
        <f t="shared" si="9"/>
        <v>51295096.666666664</v>
      </c>
      <c r="G19" s="25">
        <f t="shared" si="9"/>
        <v>51295096.666666664</v>
      </c>
      <c r="H19" s="25">
        <f t="shared" si="9"/>
        <v>51295096.666666664</v>
      </c>
      <c r="I19" s="25">
        <f t="shared" si="9"/>
        <v>51295096.666666664</v>
      </c>
      <c r="J19" s="25">
        <f t="shared" si="9"/>
        <v>51295096.666666664</v>
      </c>
      <c r="K19" s="25">
        <f t="shared" si="9"/>
        <v>51295096.666666664</v>
      </c>
      <c r="L19" s="25">
        <f t="shared" si="9"/>
        <v>51295096.666666664</v>
      </c>
      <c r="M19" s="25">
        <f t="shared" si="9"/>
        <v>51295096.666666664</v>
      </c>
      <c r="N19" s="25">
        <f t="shared" si="9"/>
        <v>51295096.666666664</v>
      </c>
      <c r="O19" s="25">
        <f t="shared" si="9"/>
        <v>51295096.666666664</v>
      </c>
      <c r="P19" s="18">
        <f>SUM(P14:P17)</f>
        <v>615541160</v>
      </c>
      <c r="Q19" s="18">
        <f t="shared" si="9"/>
        <v>636374860.79999971</v>
      </c>
      <c r="R19" s="18">
        <f t="shared" si="9"/>
        <v>833641597.78399968</v>
      </c>
      <c r="S19" s="18">
        <f t="shared" si="9"/>
        <v>1118938107.1419194</v>
      </c>
      <c r="T19" s="18">
        <f t="shared" si="9"/>
        <v>1487759805.6336408</v>
      </c>
      <c r="U19" s="5"/>
      <c r="V19" s="6"/>
      <c r="W19" s="6"/>
      <c r="X19" s="6"/>
      <c r="Y19" s="6"/>
    </row>
    <row r="20" spans="2:25" x14ac:dyDescent="0.35"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6"/>
      <c r="Q20" s="17"/>
      <c r="R20" s="17"/>
      <c r="S20" s="17"/>
      <c r="T20" s="17"/>
      <c r="U20" s="5"/>
    </row>
    <row r="21" spans="2:25" ht="16.5" thickBot="1" x14ac:dyDescent="0.4">
      <c r="B21" s="11" t="s">
        <v>10</v>
      </c>
      <c r="C21" s="20"/>
      <c r="D21" s="25">
        <f t="shared" ref="D21:T21" si="10">D11-D19</f>
        <v>47349319.999999993</v>
      </c>
      <c r="E21" s="25">
        <f t="shared" si="10"/>
        <v>47349319.999999993</v>
      </c>
      <c r="F21" s="25">
        <f t="shared" si="10"/>
        <v>47349319.999999993</v>
      </c>
      <c r="G21" s="25">
        <f t="shared" si="10"/>
        <v>47349319.999999993</v>
      </c>
      <c r="H21" s="25">
        <f t="shared" si="10"/>
        <v>47349319.999999993</v>
      </c>
      <c r="I21" s="25">
        <f t="shared" si="10"/>
        <v>47349319.999999993</v>
      </c>
      <c r="J21" s="25">
        <f t="shared" si="10"/>
        <v>47349319.999999993</v>
      </c>
      <c r="K21" s="25">
        <f t="shared" si="10"/>
        <v>47349319.999999993</v>
      </c>
      <c r="L21" s="25">
        <f t="shared" si="10"/>
        <v>47349319.999999993</v>
      </c>
      <c r="M21" s="25">
        <f t="shared" si="10"/>
        <v>47349319.999999993</v>
      </c>
      <c r="N21" s="25">
        <f t="shared" si="10"/>
        <v>47349319.999999993</v>
      </c>
      <c r="O21" s="25">
        <f t="shared" si="10"/>
        <v>47349319.999999993</v>
      </c>
      <c r="P21" s="21">
        <f t="shared" si="10"/>
        <v>568191839.99999952</v>
      </c>
      <c r="Q21" s="21">
        <f t="shared" si="10"/>
        <v>997176679.19999933</v>
      </c>
      <c r="R21" s="21">
        <f t="shared" si="10"/>
        <v>1420659527.4159987</v>
      </c>
      <c r="S21" s="21">
        <f t="shared" si="10"/>
        <v>1991997445.6340783</v>
      </c>
      <c r="T21" s="21">
        <f t="shared" si="10"/>
        <v>2805331257.1972361</v>
      </c>
      <c r="U21" s="5"/>
    </row>
    <row r="22" spans="2:25" x14ac:dyDescent="0.35"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6"/>
      <c r="Q22" s="17"/>
      <c r="R22" s="17"/>
      <c r="S22" s="17"/>
      <c r="T22" s="17"/>
      <c r="U22" s="5"/>
    </row>
    <row r="23" spans="2:25" ht="16.5" thickBot="1" x14ac:dyDescent="0.4">
      <c r="B23" s="11" t="s">
        <v>5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5"/>
    </row>
    <row r="24" spans="2:25" x14ac:dyDescent="0.4">
      <c r="B24" s="22" t="s">
        <v>76</v>
      </c>
      <c r="C24" s="42"/>
      <c r="D24" s="17">
        <f>VLOOKUP($B24,'Assumption-Inputs'!$B:$P,4,FALSE)</f>
        <v>0</v>
      </c>
      <c r="E24" s="17">
        <f>D24</f>
        <v>0</v>
      </c>
      <c r="F24" s="17">
        <f t="shared" ref="F24:O24" si="11">E24</f>
        <v>0</v>
      </c>
      <c r="G24" s="17">
        <f t="shared" si="11"/>
        <v>0</v>
      </c>
      <c r="H24" s="17">
        <f t="shared" si="11"/>
        <v>0</v>
      </c>
      <c r="I24" s="17">
        <f t="shared" si="11"/>
        <v>0</v>
      </c>
      <c r="J24" s="17">
        <f t="shared" si="11"/>
        <v>0</v>
      </c>
      <c r="K24" s="17">
        <f t="shared" si="11"/>
        <v>0</v>
      </c>
      <c r="L24" s="17">
        <f t="shared" si="11"/>
        <v>0</v>
      </c>
      <c r="M24" s="17">
        <f t="shared" si="11"/>
        <v>0</v>
      </c>
      <c r="N24" s="17">
        <f t="shared" si="11"/>
        <v>0</v>
      </c>
      <c r="O24" s="17">
        <f t="shared" si="11"/>
        <v>0</v>
      </c>
      <c r="P24" s="16">
        <f>SUM(D24:O24)</f>
        <v>0</v>
      </c>
      <c r="Q24" s="17">
        <f>P24*(1+'Assumption-Inputs'!F$77)</f>
        <v>0</v>
      </c>
      <c r="R24" s="17">
        <f>Q24*(1+'Assumption-Inputs'!G$77)</f>
        <v>0</v>
      </c>
      <c r="S24" s="17">
        <f>R24*(1+'Assumption-Inputs'!H$77)</f>
        <v>0</v>
      </c>
      <c r="T24" s="17">
        <f>S24*(1+'Assumption-Inputs'!I$77)</f>
        <v>0</v>
      </c>
      <c r="U24" s="5"/>
    </row>
    <row r="25" spans="2:25" x14ac:dyDescent="0.4">
      <c r="B25" s="22" t="s">
        <v>25</v>
      </c>
      <c r="D25" s="17">
        <f>VLOOKUP($B25,'Assumption-Inputs'!$B:$P,4,FALSE)</f>
        <v>0</v>
      </c>
      <c r="E25" s="17">
        <f t="shared" ref="E25:O25" si="12">D25</f>
        <v>0</v>
      </c>
      <c r="F25" s="17">
        <f t="shared" si="12"/>
        <v>0</v>
      </c>
      <c r="G25" s="17">
        <f t="shared" si="12"/>
        <v>0</v>
      </c>
      <c r="H25" s="17">
        <f t="shared" si="12"/>
        <v>0</v>
      </c>
      <c r="I25" s="17">
        <f t="shared" si="12"/>
        <v>0</v>
      </c>
      <c r="J25" s="17">
        <f t="shared" si="12"/>
        <v>0</v>
      </c>
      <c r="K25" s="17">
        <f t="shared" si="12"/>
        <v>0</v>
      </c>
      <c r="L25" s="17">
        <f t="shared" si="12"/>
        <v>0</v>
      </c>
      <c r="M25" s="17">
        <f t="shared" si="12"/>
        <v>0</v>
      </c>
      <c r="N25" s="17">
        <f t="shared" si="12"/>
        <v>0</v>
      </c>
      <c r="O25" s="17">
        <f t="shared" si="12"/>
        <v>0</v>
      </c>
      <c r="P25" s="16">
        <f t="shared" ref="P25:P36" si="13">SUM(D25:O25)</f>
        <v>0</v>
      </c>
      <c r="Q25" s="17">
        <f>P25*(1+'Assumption-Inputs'!F$68)</f>
        <v>0</v>
      </c>
      <c r="R25" s="17">
        <f>Q25*(1+'Assumption-Inputs'!G$68)</f>
        <v>0</v>
      </c>
      <c r="S25" s="17">
        <f>R25*(1+'Assumption-Inputs'!H$68)</f>
        <v>0</v>
      </c>
      <c r="T25" s="17">
        <f>S25*(1+'Assumption-Inputs'!I$68)</f>
        <v>0</v>
      </c>
      <c r="U25" s="5"/>
    </row>
    <row r="26" spans="2:25" x14ac:dyDescent="0.4">
      <c r="B26" s="22" t="s">
        <v>24</v>
      </c>
      <c r="D26" s="17">
        <f>VLOOKUP($B26,'Assumption-Inputs'!$B:$P,4,FALSE)</f>
        <v>98644.416666666672</v>
      </c>
      <c r="E26" s="17">
        <f t="shared" ref="E26:O26" si="14">D26</f>
        <v>98644.416666666672</v>
      </c>
      <c r="F26" s="17">
        <f t="shared" si="14"/>
        <v>98644.416666666672</v>
      </c>
      <c r="G26" s="17">
        <f t="shared" si="14"/>
        <v>98644.416666666672</v>
      </c>
      <c r="H26" s="17">
        <f t="shared" si="14"/>
        <v>98644.416666666672</v>
      </c>
      <c r="I26" s="17">
        <f t="shared" si="14"/>
        <v>98644.416666666672</v>
      </c>
      <c r="J26" s="17">
        <f t="shared" si="14"/>
        <v>98644.416666666672</v>
      </c>
      <c r="K26" s="17">
        <f t="shared" si="14"/>
        <v>98644.416666666672</v>
      </c>
      <c r="L26" s="17">
        <f t="shared" si="14"/>
        <v>98644.416666666672</v>
      </c>
      <c r="M26" s="17">
        <f t="shared" si="14"/>
        <v>98644.416666666672</v>
      </c>
      <c r="N26" s="17">
        <f t="shared" si="14"/>
        <v>98644.416666666672</v>
      </c>
      <c r="O26" s="17">
        <f t="shared" si="14"/>
        <v>98644.416666666672</v>
      </c>
      <c r="P26" s="16">
        <f t="shared" si="13"/>
        <v>1183733</v>
      </c>
      <c r="Q26" s="17">
        <f>P26*(1+'Assumption-Inputs'!F$68)</f>
        <v>1361292.95</v>
      </c>
      <c r="R26" s="17">
        <f>Q26*(1+'Assumption-Inputs'!G$68)</f>
        <v>1565486.8924999998</v>
      </c>
      <c r="S26" s="17">
        <f>R26*(1+'Assumption-Inputs'!H$68)</f>
        <v>1800309.9263749996</v>
      </c>
      <c r="T26" s="17">
        <f>S26*(1+'Assumption-Inputs'!I$68)</f>
        <v>2070356.4153312494</v>
      </c>
      <c r="U26" s="5"/>
    </row>
    <row r="27" spans="2:25" x14ac:dyDescent="0.4">
      <c r="B27" s="22" t="s">
        <v>54</v>
      </c>
      <c r="D27" s="17">
        <f>VLOOKUP($B27,'Assumption-Inputs'!$B:$P,4,FALSE)</f>
        <v>625000</v>
      </c>
      <c r="E27" s="17">
        <f t="shared" ref="E27:O27" si="15">D27</f>
        <v>625000</v>
      </c>
      <c r="F27" s="17">
        <f t="shared" si="15"/>
        <v>625000</v>
      </c>
      <c r="G27" s="17">
        <f t="shared" si="15"/>
        <v>625000</v>
      </c>
      <c r="H27" s="17">
        <f t="shared" si="15"/>
        <v>625000</v>
      </c>
      <c r="I27" s="17">
        <f t="shared" si="15"/>
        <v>625000</v>
      </c>
      <c r="J27" s="17">
        <f t="shared" si="15"/>
        <v>625000</v>
      </c>
      <c r="K27" s="17">
        <f t="shared" si="15"/>
        <v>625000</v>
      </c>
      <c r="L27" s="17">
        <f t="shared" si="15"/>
        <v>625000</v>
      </c>
      <c r="M27" s="17">
        <f t="shared" si="15"/>
        <v>625000</v>
      </c>
      <c r="N27" s="17">
        <f t="shared" si="15"/>
        <v>625000</v>
      </c>
      <c r="O27" s="17">
        <f t="shared" si="15"/>
        <v>625000</v>
      </c>
      <c r="P27" s="16">
        <f t="shared" si="13"/>
        <v>7500000</v>
      </c>
      <c r="Q27" s="17">
        <f>P27*(1+'Assumption-Inputs'!F$68)</f>
        <v>8625000</v>
      </c>
      <c r="R27" s="17">
        <f>Q27*(1+'Assumption-Inputs'!G$68)</f>
        <v>9918750</v>
      </c>
      <c r="S27" s="17">
        <f>R27*(1+'Assumption-Inputs'!H$68)</f>
        <v>11406562.5</v>
      </c>
      <c r="T27" s="17">
        <f>S27*(1+'Assumption-Inputs'!I$68)</f>
        <v>13117546.874999998</v>
      </c>
      <c r="U27" s="5"/>
    </row>
    <row r="28" spans="2:25" x14ac:dyDescent="0.4">
      <c r="B28" s="22" t="s">
        <v>48</v>
      </c>
      <c r="D28" s="17">
        <f>VLOOKUP($B28,'Assumption-Inputs'!$B:$P,4,FALSE)</f>
        <v>0</v>
      </c>
      <c r="E28" s="17">
        <f t="shared" ref="E28:O28" si="16">D28</f>
        <v>0</v>
      </c>
      <c r="F28" s="17">
        <f t="shared" si="16"/>
        <v>0</v>
      </c>
      <c r="G28" s="17">
        <f t="shared" si="16"/>
        <v>0</v>
      </c>
      <c r="H28" s="17">
        <f t="shared" si="16"/>
        <v>0</v>
      </c>
      <c r="I28" s="17">
        <f t="shared" si="16"/>
        <v>0</v>
      </c>
      <c r="J28" s="17">
        <f t="shared" si="16"/>
        <v>0</v>
      </c>
      <c r="K28" s="17">
        <f t="shared" si="16"/>
        <v>0</v>
      </c>
      <c r="L28" s="17">
        <f t="shared" si="16"/>
        <v>0</v>
      </c>
      <c r="M28" s="17">
        <f t="shared" si="16"/>
        <v>0</v>
      </c>
      <c r="N28" s="17">
        <f t="shared" si="16"/>
        <v>0</v>
      </c>
      <c r="O28" s="17">
        <f t="shared" si="16"/>
        <v>0</v>
      </c>
      <c r="P28" s="16">
        <f t="shared" si="13"/>
        <v>0</v>
      </c>
      <c r="Q28" s="17">
        <f>P28*(1+'Assumption-Inputs'!F$68)</f>
        <v>0</v>
      </c>
      <c r="R28" s="17">
        <f>Q28*(1+'Assumption-Inputs'!G$68)</f>
        <v>0</v>
      </c>
      <c r="S28" s="17">
        <f>R28*(1+'Assumption-Inputs'!H$68)</f>
        <v>0</v>
      </c>
      <c r="T28" s="17">
        <f>S28*(1+'Assumption-Inputs'!I$68)</f>
        <v>0</v>
      </c>
      <c r="U28" s="5"/>
    </row>
    <row r="29" spans="2:25" x14ac:dyDescent="0.4">
      <c r="B29" s="22" t="s">
        <v>23</v>
      </c>
      <c r="D29" s="17">
        <f>VLOOKUP($B29,'Assumption-Inputs'!$B:$P,4,FALSE)</f>
        <v>200000</v>
      </c>
      <c r="E29" s="17">
        <f t="shared" ref="E29:O29" si="17">D29</f>
        <v>200000</v>
      </c>
      <c r="F29" s="17">
        <f t="shared" si="17"/>
        <v>200000</v>
      </c>
      <c r="G29" s="17">
        <f t="shared" si="17"/>
        <v>200000</v>
      </c>
      <c r="H29" s="17">
        <f t="shared" si="17"/>
        <v>200000</v>
      </c>
      <c r="I29" s="17">
        <f t="shared" si="17"/>
        <v>200000</v>
      </c>
      <c r="J29" s="17">
        <f t="shared" si="17"/>
        <v>200000</v>
      </c>
      <c r="K29" s="17">
        <f t="shared" si="17"/>
        <v>200000</v>
      </c>
      <c r="L29" s="17">
        <f t="shared" si="17"/>
        <v>200000</v>
      </c>
      <c r="M29" s="17">
        <f t="shared" si="17"/>
        <v>200000</v>
      </c>
      <c r="N29" s="17">
        <f t="shared" si="17"/>
        <v>200000</v>
      </c>
      <c r="O29" s="17">
        <f t="shared" si="17"/>
        <v>200000</v>
      </c>
      <c r="P29" s="16">
        <f t="shared" si="13"/>
        <v>2400000</v>
      </c>
      <c r="Q29" s="17">
        <f>P29*(1+'Assumption-Inputs'!F$68)</f>
        <v>2760000</v>
      </c>
      <c r="R29" s="17">
        <f>Q29*(1+'Assumption-Inputs'!G$68)</f>
        <v>3173999.9999999995</v>
      </c>
      <c r="S29" s="17">
        <f>R29*(1+'Assumption-Inputs'!H$68)</f>
        <v>3650099.9999999991</v>
      </c>
      <c r="T29" s="17">
        <f>S29*(1+'Assumption-Inputs'!I$68)</f>
        <v>4197614.9999999991</v>
      </c>
      <c r="U29" s="5"/>
    </row>
    <row r="30" spans="2:25" x14ac:dyDescent="0.4">
      <c r="B30" s="22" t="s">
        <v>39</v>
      </c>
      <c r="D30" s="17">
        <f>VLOOKUP($B30,'Assumption-Inputs'!$B:$P,4,FALSE)</f>
        <v>0</v>
      </c>
      <c r="E30" s="17">
        <f t="shared" ref="E30:O30" si="18">D30</f>
        <v>0</v>
      </c>
      <c r="F30" s="17">
        <f t="shared" si="18"/>
        <v>0</v>
      </c>
      <c r="G30" s="17">
        <f t="shared" si="18"/>
        <v>0</v>
      </c>
      <c r="H30" s="17">
        <f t="shared" si="18"/>
        <v>0</v>
      </c>
      <c r="I30" s="17">
        <f t="shared" si="18"/>
        <v>0</v>
      </c>
      <c r="J30" s="17">
        <f t="shared" si="18"/>
        <v>0</v>
      </c>
      <c r="K30" s="17">
        <f t="shared" si="18"/>
        <v>0</v>
      </c>
      <c r="L30" s="17">
        <f t="shared" si="18"/>
        <v>0</v>
      </c>
      <c r="M30" s="17">
        <f t="shared" si="18"/>
        <v>0</v>
      </c>
      <c r="N30" s="17">
        <f t="shared" si="18"/>
        <v>0</v>
      </c>
      <c r="O30" s="17">
        <f t="shared" si="18"/>
        <v>0</v>
      </c>
      <c r="P30" s="16">
        <f t="shared" si="13"/>
        <v>0</v>
      </c>
      <c r="Q30" s="17">
        <f>P30*(1+'Assumption-Inputs'!F$68)</f>
        <v>0</v>
      </c>
      <c r="R30" s="17">
        <f>Q30*(1+'Assumption-Inputs'!G$68)</f>
        <v>0</v>
      </c>
      <c r="S30" s="17">
        <f>R30*(1+'Assumption-Inputs'!H$68)</f>
        <v>0</v>
      </c>
      <c r="T30" s="17">
        <f>S30*(1+'Assumption-Inputs'!I$68)</f>
        <v>0</v>
      </c>
      <c r="U30" s="5"/>
    </row>
    <row r="31" spans="2:25" x14ac:dyDescent="0.4">
      <c r="B31" s="22" t="s">
        <v>38</v>
      </c>
      <c r="D31" s="17">
        <f>VLOOKUP($B31,'Assumption-Inputs'!$B:$P,4,FALSE)</f>
        <v>0</v>
      </c>
      <c r="E31" s="17">
        <f t="shared" ref="E31:O31" si="19">D31</f>
        <v>0</v>
      </c>
      <c r="F31" s="17">
        <f t="shared" si="19"/>
        <v>0</v>
      </c>
      <c r="G31" s="17">
        <f t="shared" si="19"/>
        <v>0</v>
      </c>
      <c r="H31" s="17">
        <f t="shared" si="19"/>
        <v>0</v>
      </c>
      <c r="I31" s="17">
        <f t="shared" si="19"/>
        <v>0</v>
      </c>
      <c r="J31" s="17">
        <f t="shared" si="19"/>
        <v>0</v>
      </c>
      <c r="K31" s="17">
        <f t="shared" si="19"/>
        <v>0</v>
      </c>
      <c r="L31" s="17">
        <f t="shared" si="19"/>
        <v>0</v>
      </c>
      <c r="M31" s="17">
        <f t="shared" si="19"/>
        <v>0</v>
      </c>
      <c r="N31" s="17">
        <f t="shared" si="19"/>
        <v>0</v>
      </c>
      <c r="O31" s="17">
        <f t="shared" si="19"/>
        <v>0</v>
      </c>
      <c r="P31" s="16">
        <f t="shared" si="13"/>
        <v>0</v>
      </c>
      <c r="Q31" s="17">
        <f>P31*(1+'Assumption-Inputs'!F$68)</f>
        <v>0</v>
      </c>
      <c r="R31" s="17">
        <f>Q31*(1+'Assumption-Inputs'!G$68)</f>
        <v>0</v>
      </c>
      <c r="S31" s="17">
        <f>R31*(1+'Assumption-Inputs'!H$68)</f>
        <v>0</v>
      </c>
      <c r="T31" s="17">
        <f>S31*(1+'Assumption-Inputs'!I$68)</f>
        <v>0</v>
      </c>
      <c r="U31" s="5"/>
    </row>
    <row r="32" spans="2:25" x14ac:dyDescent="0.4">
      <c r="B32" s="22" t="s">
        <v>22</v>
      </c>
      <c r="D32" s="17">
        <f>VLOOKUP($B32,'Assumption-Inputs'!$B:$P,4,FALSE)</f>
        <v>0</v>
      </c>
      <c r="E32" s="17">
        <f t="shared" ref="E32:O32" si="20">D32</f>
        <v>0</v>
      </c>
      <c r="F32" s="17">
        <f t="shared" si="20"/>
        <v>0</v>
      </c>
      <c r="G32" s="17">
        <f t="shared" si="20"/>
        <v>0</v>
      </c>
      <c r="H32" s="17">
        <f t="shared" si="20"/>
        <v>0</v>
      </c>
      <c r="I32" s="17">
        <f t="shared" si="20"/>
        <v>0</v>
      </c>
      <c r="J32" s="17">
        <f t="shared" si="20"/>
        <v>0</v>
      </c>
      <c r="K32" s="17">
        <f t="shared" si="20"/>
        <v>0</v>
      </c>
      <c r="L32" s="17">
        <f t="shared" si="20"/>
        <v>0</v>
      </c>
      <c r="M32" s="17">
        <f t="shared" si="20"/>
        <v>0</v>
      </c>
      <c r="N32" s="17">
        <f t="shared" si="20"/>
        <v>0</v>
      </c>
      <c r="O32" s="17">
        <f t="shared" si="20"/>
        <v>0</v>
      </c>
      <c r="P32" s="16">
        <f t="shared" si="13"/>
        <v>0</v>
      </c>
      <c r="Q32" s="17">
        <f>P32*(1+'Assumption-Inputs'!F$68)</f>
        <v>0</v>
      </c>
      <c r="R32" s="17">
        <f>Q32*(1+'Assumption-Inputs'!G$68)</f>
        <v>0</v>
      </c>
      <c r="S32" s="17">
        <f>R32*(1+'Assumption-Inputs'!H$68)</f>
        <v>0</v>
      </c>
      <c r="T32" s="17">
        <f>S32*(1+'Assumption-Inputs'!I$68)</f>
        <v>0</v>
      </c>
      <c r="U32" s="5"/>
    </row>
    <row r="33" spans="2:21" x14ac:dyDescent="0.4">
      <c r="B33" s="22" t="s">
        <v>99</v>
      </c>
      <c r="D33" s="17">
        <f>VLOOKUP($B33,'Assumption-Inputs'!$B:$P,4,FALSE)</f>
        <v>1833333</v>
      </c>
      <c r="E33" s="17">
        <f t="shared" ref="E33:O33" si="21">D33</f>
        <v>1833333</v>
      </c>
      <c r="F33" s="17">
        <f t="shared" si="21"/>
        <v>1833333</v>
      </c>
      <c r="G33" s="17">
        <f t="shared" si="21"/>
        <v>1833333</v>
      </c>
      <c r="H33" s="17">
        <f t="shared" si="21"/>
        <v>1833333</v>
      </c>
      <c r="I33" s="17">
        <f t="shared" si="21"/>
        <v>1833333</v>
      </c>
      <c r="J33" s="17">
        <f t="shared" si="21"/>
        <v>1833333</v>
      </c>
      <c r="K33" s="17">
        <f t="shared" si="21"/>
        <v>1833333</v>
      </c>
      <c r="L33" s="17">
        <f t="shared" si="21"/>
        <v>1833333</v>
      </c>
      <c r="M33" s="17">
        <f t="shared" si="21"/>
        <v>1833333</v>
      </c>
      <c r="N33" s="17">
        <f t="shared" si="21"/>
        <v>1833333</v>
      </c>
      <c r="O33" s="17">
        <f t="shared" si="21"/>
        <v>1833333</v>
      </c>
      <c r="P33" s="16">
        <f t="shared" si="13"/>
        <v>21999996</v>
      </c>
      <c r="Q33" s="17">
        <f>P33*(1+'Assumption-Inputs'!F$68)</f>
        <v>25299995.399999999</v>
      </c>
      <c r="R33" s="17">
        <f>Q33*(1+'Assumption-Inputs'!G$68)</f>
        <v>29094994.709999997</v>
      </c>
      <c r="S33" s="17">
        <f>R33*(1+'Assumption-Inputs'!H$68)</f>
        <v>33459243.916499995</v>
      </c>
      <c r="T33" s="17">
        <f>S33*(1+'Assumption-Inputs'!I$68)</f>
        <v>38478130.503974989</v>
      </c>
      <c r="U33" s="5"/>
    </row>
    <row r="34" spans="2:21" x14ac:dyDescent="0.4">
      <c r="B34" s="22" t="s">
        <v>55</v>
      </c>
      <c r="D34" s="17">
        <f>VLOOKUP($B34,'Assumption-Inputs'!$B:$P,4,FALSE)</f>
        <v>125000</v>
      </c>
      <c r="E34" s="17">
        <f t="shared" ref="E34:O34" si="22">D34</f>
        <v>125000</v>
      </c>
      <c r="F34" s="17">
        <f t="shared" si="22"/>
        <v>125000</v>
      </c>
      <c r="G34" s="17">
        <f t="shared" si="22"/>
        <v>125000</v>
      </c>
      <c r="H34" s="17">
        <f t="shared" si="22"/>
        <v>125000</v>
      </c>
      <c r="I34" s="17">
        <f t="shared" si="22"/>
        <v>125000</v>
      </c>
      <c r="J34" s="17">
        <f t="shared" si="22"/>
        <v>125000</v>
      </c>
      <c r="K34" s="17">
        <f t="shared" si="22"/>
        <v>125000</v>
      </c>
      <c r="L34" s="17">
        <f t="shared" si="22"/>
        <v>125000</v>
      </c>
      <c r="M34" s="17">
        <f t="shared" si="22"/>
        <v>125000</v>
      </c>
      <c r="N34" s="17">
        <f t="shared" si="22"/>
        <v>125000</v>
      </c>
      <c r="O34" s="17">
        <f t="shared" si="22"/>
        <v>125000</v>
      </c>
      <c r="P34" s="16">
        <f t="shared" si="13"/>
        <v>1500000</v>
      </c>
      <c r="Q34" s="17">
        <f>P34*(1+'Assumption-Inputs'!F$68)</f>
        <v>1724999.9999999998</v>
      </c>
      <c r="R34" s="17">
        <f>Q34*(1+'Assumption-Inputs'!G$68)</f>
        <v>1983749.9999999995</v>
      </c>
      <c r="S34" s="17">
        <f>R34*(1+'Assumption-Inputs'!H$68)</f>
        <v>2281312.4999999991</v>
      </c>
      <c r="T34" s="17">
        <f>S34*(1+'Assumption-Inputs'!I$68)</f>
        <v>2623509.3749999986</v>
      </c>
      <c r="U34" s="5"/>
    </row>
    <row r="35" spans="2:21" x14ac:dyDescent="0.4">
      <c r="B35" s="22" t="s">
        <v>56</v>
      </c>
      <c r="D35" s="17">
        <f>VLOOKUP($B35,'Assumption-Inputs'!$B:$P,4,FALSE)</f>
        <v>100000</v>
      </c>
      <c r="E35" s="17">
        <f t="shared" ref="E35:O35" si="23">D35</f>
        <v>100000</v>
      </c>
      <c r="F35" s="17">
        <f t="shared" si="23"/>
        <v>100000</v>
      </c>
      <c r="G35" s="17">
        <f t="shared" si="23"/>
        <v>100000</v>
      </c>
      <c r="H35" s="17">
        <f t="shared" si="23"/>
        <v>100000</v>
      </c>
      <c r="I35" s="17">
        <f t="shared" si="23"/>
        <v>100000</v>
      </c>
      <c r="J35" s="17">
        <f t="shared" si="23"/>
        <v>100000</v>
      </c>
      <c r="K35" s="17">
        <f t="shared" si="23"/>
        <v>100000</v>
      </c>
      <c r="L35" s="17">
        <f t="shared" si="23"/>
        <v>100000</v>
      </c>
      <c r="M35" s="17">
        <f t="shared" si="23"/>
        <v>100000</v>
      </c>
      <c r="N35" s="17">
        <f t="shared" si="23"/>
        <v>100000</v>
      </c>
      <c r="O35" s="17">
        <f t="shared" si="23"/>
        <v>100000</v>
      </c>
      <c r="P35" s="16">
        <f t="shared" si="13"/>
        <v>1200000</v>
      </c>
      <c r="Q35" s="17">
        <f>P35*(1+'Assumption-Inputs'!F$68)</f>
        <v>1380000</v>
      </c>
      <c r="R35" s="17">
        <f>Q35*(1+'Assumption-Inputs'!G$68)</f>
        <v>1586999.9999999998</v>
      </c>
      <c r="S35" s="17">
        <f>R35*(1+'Assumption-Inputs'!H$68)</f>
        <v>1825049.9999999995</v>
      </c>
      <c r="T35" s="17">
        <f>S35*(1+'Assumption-Inputs'!I$68)</f>
        <v>2098807.4999999995</v>
      </c>
      <c r="U35" s="5"/>
    </row>
    <row r="36" spans="2:21" x14ac:dyDescent="0.35">
      <c r="B36" s="27" t="s">
        <v>75</v>
      </c>
      <c r="D36" s="17">
        <f>VLOOKUP($B36,'Assumption-Inputs'!$B:$P,4,FALSE)</f>
        <v>500000</v>
      </c>
      <c r="E36" s="17">
        <f t="shared" ref="E36:O36" si="24">D36</f>
        <v>500000</v>
      </c>
      <c r="F36" s="17">
        <f t="shared" si="24"/>
        <v>500000</v>
      </c>
      <c r="G36" s="17">
        <f t="shared" si="24"/>
        <v>500000</v>
      </c>
      <c r="H36" s="17">
        <f t="shared" si="24"/>
        <v>500000</v>
      </c>
      <c r="I36" s="17">
        <f t="shared" si="24"/>
        <v>500000</v>
      </c>
      <c r="J36" s="17">
        <f t="shared" si="24"/>
        <v>500000</v>
      </c>
      <c r="K36" s="17">
        <f t="shared" si="24"/>
        <v>500000</v>
      </c>
      <c r="L36" s="17">
        <f t="shared" si="24"/>
        <v>500000</v>
      </c>
      <c r="M36" s="17">
        <f t="shared" si="24"/>
        <v>500000</v>
      </c>
      <c r="N36" s="17">
        <f t="shared" si="24"/>
        <v>500000</v>
      </c>
      <c r="O36" s="17">
        <f t="shared" si="24"/>
        <v>500000</v>
      </c>
      <c r="P36" s="16">
        <f t="shared" si="13"/>
        <v>6000000</v>
      </c>
      <c r="Q36" s="17">
        <f>P36*(1+'Assumption-Inputs'!F$68)</f>
        <v>6899999.9999999991</v>
      </c>
      <c r="R36" s="17">
        <f>Q36*(1+'Assumption-Inputs'!G$68)</f>
        <v>7934999.9999999981</v>
      </c>
      <c r="S36" s="17">
        <f>R36*(1+'Assumption-Inputs'!H$68)</f>
        <v>9125249.9999999963</v>
      </c>
      <c r="T36" s="17">
        <f>S36*(1+'Assumption-Inputs'!I$68)</f>
        <v>10494037.499999994</v>
      </c>
      <c r="U36" s="5"/>
    </row>
    <row r="37" spans="2:21" ht="16.5" thickBot="1" x14ac:dyDescent="0.4">
      <c r="B37" s="23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5"/>
    </row>
    <row r="38" spans="2:21" ht="16.5" thickBot="1" x14ac:dyDescent="0.4">
      <c r="B38" s="24" t="s">
        <v>30</v>
      </c>
      <c r="C38" s="19"/>
      <c r="D38" s="44">
        <f>SUM(D24:D36)</f>
        <v>3481977.4166666665</v>
      </c>
      <c r="E38" s="44">
        <f t="shared" ref="E38:O38" si="25">SUM(E24:E36)</f>
        <v>3481977.4166666665</v>
      </c>
      <c r="F38" s="44">
        <f t="shared" si="25"/>
        <v>3481977.4166666665</v>
      </c>
      <c r="G38" s="44">
        <f t="shared" si="25"/>
        <v>3481977.4166666665</v>
      </c>
      <c r="H38" s="44">
        <f t="shared" si="25"/>
        <v>3481977.4166666665</v>
      </c>
      <c r="I38" s="44">
        <f t="shared" si="25"/>
        <v>3481977.4166666665</v>
      </c>
      <c r="J38" s="44">
        <f t="shared" si="25"/>
        <v>3481977.4166666665</v>
      </c>
      <c r="K38" s="44">
        <f t="shared" si="25"/>
        <v>3481977.4166666665</v>
      </c>
      <c r="L38" s="44">
        <f t="shared" si="25"/>
        <v>3481977.4166666665</v>
      </c>
      <c r="M38" s="44">
        <f t="shared" si="25"/>
        <v>3481977.4166666665</v>
      </c>
      <c r="N38" s="44">
        <f t="shared" si="25"/>
        <v>3481977.4166666665</v>
      </c>
      <c r="O38" s="44">
        <f t="shared" si="25"/>
        <v>3481977.4166666665</v>
      </c>
      <c r="P38" s="44">
        <f>SUM(P24:P36)</f>
        <v>41783729</v>
      </c>
      <c r="Q38" s="19">
        <f>SUM(Q24:Q36)</f>
        <v>48051288.349999994</v>
      </c>
      <c r="R38" s="19">
        <f t="shared" ref="R38:T38" si="26">SUM(R25:R36)</f>
        <v>55258981.602499999</v>
      </c>
      <c r="S38" s="19">
        <f t="shared" si="26"/>
        <v>63547828.842874989</v>
      </c>
      <c r="T38" s="19">
        <f t="shared" si="26"/>
        <v>73080003.169306234</v>
      </c>
      <c r="U38" s="5"/>
    </row>
    <row r="39" spans="2:21" ht="16.5" thickBot="1" x14ac:dyDescent="0.4">
      <c r="B39" s="23"/>
      <c r="C39" s="19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5"/>
    </row>
    <row r="40" spans="2:21" ht="16.5" thickBot="1" x14ac:dyDescent="0.4">
      <c r="B40" s="24" t="s">
        <v>6</v>
      </c>
      <c r="C40" s="19"/>
      <c r="D40" s="44">
        <f>D21-D38</f>
        <v>43867342.583333328</v>
      </c>
      <c r="E40" s="44">
        <f t="shared" ref="E40:P40" si="27">E21-E38</f>
        <v>43867342.583333328</v>
      </c>
      <c r="F40" s="44">
        <f t="shared" si="27"/>
        <v>43867342.583333328</v>
      </c>
      <c r="G40" s="44">
        <f t="shared" si="27"/>
        <v>43867342.583333328</v>
      </c>
      <c r="H40" s="44">
        <f t="shared" si="27"/>
        <v>43867342.583333328</v>
      </c>
      <c r="I40" s="44">
        <f t="shared" si="27"/>
        <v>43867342.583333328</v>
      </c>
      <c r="J40" s="44">
        <f t="shared" si="27"/>
        <v>43867342.583333328</v>
      </c>
      <c r="K40" s="44">
        <f t="shared" si="27"/>
        <v>43867342.583333328</v>
      </c>
      <c r="L40" s="44">
        <f t="shared" si="27"/>
        <v>43867342.583333328</v>
      </c>
      <c r="M40" s="44">
        <f t="shared" si="27"/>
        <v>43867342.583333328</v>
      </c>
      <c r="N40" s="44">
        <f t="shared" si="27"/>
        <v>43867342.583333328</v>
      </c>
      <c r="O40" s="44">
        <f t="shared" si="27"/>
        <v>43867342.583333328</v>
      </c>
      <c r="P40" s="44">
        <f t="shared" si="27"/>
        <v>526408110.99999952</v>
      </c>
      <c r="Q40" s="19">
        <f>Q21-Q38</f>
        <v>949125390.84999931</v>
      </c>
      <c r="R40" s="19">
        <f t="shared" ref="R40:T40" si="28">R21-R38</f>
        <v>1365400545.8134987</v>
      </c>
      <c r="S40" s="19">
        <f t="shared" si="28"/>
        <v>1928449616.7912033</v>
      </c>
      <c r="T40" s="19">
        <f t="shared" si="28"/>
        <v>2732251254.0279298</v>
      </c>
      <c r="U40" s="5"/>
    </row>
    <row r="41" spans="2:21" x14ac:dyDescent="0.35">
      <c r="B41" s="45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7"/>
      <c r="Q41" s="17"/>
      <c r="R41" s="17"/>
      <c r="S41" s="17"/>
      <c r="T41" s="17"/>
      <c r="U41" s="5"/>
    </row>
    <row r="42" spans="2:21" x14ac:dyDescent="0.35">
      <c r="B42" s="45" t="s">
        <v>57</v>
      </c>
      <c r="D42" s="17">
        <f>VLOOKUP($B42,'Assumption-Inputs'!$B:$P,4,FALSE)</f>
        <v>50000</v>
      </c>
      <c r="E42" s="46">
        <f t="shared" ref="E42:O42" si="29">D42</f>
        <v>50000</v>
      </c>
      <c r="F42" s="46">
        <f t="shared" si="29"/>
        <v>50000</v>
      </c>
      <c r="G42" s="46">
        <f t="shared" si="29"/>
        <v>50000</v>
      </c>
      <c r="H42" s="46">
        <f t="shared" si="29"/>
        <v>50000</v>
      </c>
      <c r="I42" s="46">
        <f t="shared" si="29"/>
        <v>50000</v>
      </c>
      <c r="J42" s="46">
        <f t="shared" si="29"/>
        <v>50000</v>
      </c>
      <c r="K42" s="46">
        <f t="shared" si="29"/>
        <v>50000</v>
      </c>
      <c r="L42" s="46">
        <f t="shared" si="29"/>
        <v>50000</v>
      </c>
      <c r="M42" s="46">
        <f t="shared" si="29"/>
        <v>50000</v>
      </c>
      <c r="N42" s="46">
        <f t="shared" si="29"/>
        <v>50000</v>
      </c>
      <c r="O42" s="46">
        <f t="shared" si="29"/>
        <v>50000</v>
      </c>
      <c r="P42" s="47">
        <f t="shared" ref="P42" si="30">SUM(D42:O42)</f>
        <v>600000</v>
      </c>
      <c r="Q42" s="17">
        <f>P42*(1+'Assumption-Inputs'!F$68)</f>
        <v>690000</v>
      </c>
      <c r="R42" s="17">
        <f>Q42*(1+'Assumption-Inputs'!G$68)</f>
        <v>793499.99999999988</v>
      </c>
      <c r="S42" s="17">
        <f>R42*(1+'Assumption-Inputs'!H$68)</f>
        <v>912524.99999999977</v>
      </c>
      <c r="T42" s="17">
        <f>S42*(1+'Assumption-Inputs'!I$68)</f>
        <v>1049403.7499999998</v>
      </c>
      <c r="U42" s="5"/>
    </row>
    <row r="43" spans="2:21" ht="16.5" thickBot="1" x14ac:dyDescent="0.4">
      <c r="B43" s="11"/>
      <c r="C43" s="20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8"/>
      <c r="Q43" s="21"/>
      <c r="R43" s="21"/>
      <c r="S43" s="21"/>
      <c r="T43" s="21"/>
      <c r="U43" s="5"/>
    </row>
    <row r="44" spans="2:21" ht="16.5" thickBot="1" x14ac:dyDescent="0.4">
      <c r="B44" s="11" t="s">
        <v>58</v>
      </c>
      <c r="C44" s="20"/>
      <c r="D44" s="44">
        <f>D40-D42</f>
        <v>43817342.583333328</v>
      </c>
      <c r="E44" s="44">
        <f t="shared" ref="E44:T44" si="31">E40-E42</f>
        <v>43817342.583333328</v>
      </c>
      <c r="F44" s="44">
        <f t="shared" si="31"/>
        <v>43817342.583333328</v>
      </c>
      <c r="G44" s="44">
        <f t="shared" si="31"/>
        <v>43817342.583333328</v>
      </c>
      <c r="H44" s="44">
        <f t="shared" si="31"/>
        <v>43817342.583333328</v>
      </c>
      <c r="I44" s="44">
        <f t="shared" si="31"/>
        <v>43817342.583333328</v>
      </c>
      <c r="J44" s="44">
        <f t="shared" si="31"/>
        <v>43817342.583333328</v>
      </c>
      <c r="K44" s="44">
        <f t="shared" si="31"/>
        <v>43817342.583333328</v>
      </c>
      <c r="L44" s="44">
        <f t="shared" si="31"/>
        <v>43817342.583333328</v>
      </c>
      <c r="M44" s="44">
        <f t="shared" si="31"/>
        <v>43817342.583333328</v>
      </c>
      <c r="N44" s="44">
        <f t="shared" si="31"/>
        <v>43817342.583333328</v>
      </c>
      <c r="O44" s="44">
        <f t="shared" si="31"/>
        <v>43817342.583333328</v>
      </c>
      <c r="P44" s="44">
        <f t="shared" si="31"/>
        <v>525808110.99999952</v>
      </c>
      <c r="Q44" s="44">
        <f t="shared" si="31"/>
        <v>948435390.84999931</v>
      </c>
      <c r="R44" s="44">
        <f t="shared" si="31"/>
        <v>1364607045.8134987</v>
      </c>
      <c r="S44" s="44">
        <f t="shared" si="31"/>
        <v>1927537091.7912033</v>
      </c>
      <c r="T44" s="44">
        <f t="shared" si="31"/>
        <v>2731201850.2779298</v>
      </c>
      <c r="U44" s="5"/>
    </row>
    <row r="45" spans="2:21" ht="16.5" thickBot="1" x14ac:dyDescent="0.4">
      <c r="B45" s="11"/>
      <c r="C45" s="20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8"/>
      <c r="Q45" s="17"/>
      <c r="R45" s="17"/>
      <c r="S45" s="17"/>
      <c r="T45" s="17"/>
      <c r="U45" s="5"/>
    </row>
    <row r="46" spans="2:21" ht="16.5" hidden="1" thickBot="1" x14ac:dyDescent="0.4">
      <c r="B46" s="11" t="s">
        <v>32</v>
      </c>
      <c r="C46" s="20"/>
      <c r="D46" s="44">
        <f>D44</f>
        <v>43817342.583333328</v>
      </c>
      <c r="E46" s="44">
        <f>D46+E44</f>
        <v>87634685.166666657</v>
      </c>
      <c r="F46" s="44">
        <f t="shared" ref="F46:O46" si="32">E46+F44</f>
        <v>131452027.74999999</v>
      </c>
      <c r="G46" s="44">
        <f t="shared" si="32"/>
        <v>175269370.33333331</v>
      </c>
      <c r="H46" s="44">
        <f t="shared" si="32"/>
        <v>219086712.91666663</v>
      </c>
      <c r="I46" s="44">
        <f t="shared" si="32"/>
        <v>262904055.49999994</v>
      </c>
      <c r="J46" s="44">
        <f t="shared" si="32"/>
        <v>306721398.08333325</v>
      </c>
      <c r="K46" s="44">
        <f t="shared" si="32"/>
        <v>350538740.66666657</v>
      </c>
      <c r="L46" s="44">
        <f t="shared" si="32"/>
        <v>394356083.24999988</v>
      </c>
      <c r="M46" s="44">
        <f t="shared" si="32"/>
        <v>438173425.83333319</v>
      </c>
      <c r="N46" s="44">
        <f t="shared" si="32"/>
        <v>481990768.41666651</v>
      </c>
      <c r="O46" s="44">
        <f t="shared" si="32"/>
        <v>525808110.99999982</v>
      </c>
      <c r="P46" s="44">
        <f>P44</f>
        <v>525808110.99999952</v>
      </c>
      <c r="Q46" s="21">
        <f>P46+Q40</f>
        <v>1474933501.849999</v>
      </c>
      <c r="R46" s="21">
        <f t="shared" ref="R46:T46" si="33">Q46+R40</f>
        <v>2840334047.6634979</v>
      </c>
      <c r="S46" s="21">
        <f t="shared" si="33"/>
        <v>4768783664.4547014</v>
      </c>
      <c r="T46" s="21">
        <f t="shared" si="33"/>
        <v>7501034918.4826317</v>
      </c>
      <c r="U46" s="5"/>
    </row>
    <row r="47" spans="2:21" ht="16.5" hidden="1" outlineLevel="1" thickBot="1" x14ac:dyDescent="0.4">
      <c r="B47" s="11"/>
      <c r="C47" s="20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8"/>
      <c r="Q47" s="21"/>
      <c r="R47" s="21"/>
      <c r="S47" s="21"/>
      <c r="T47" s="21"/>
      <c r="U47" s="5"/>
    </row>
    <row r="48" spans="2:21" ht="16.5" hidden="1" outlineLevel="1" thickBot="1" x14ac:dyDescent="0.4">
      <c r="B48" s="11" t="s">
        <v>33</v>
      </c>
      <c r="C48" s="20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8"/>
      <c r="Q48" s="21"/>
      <c r="R48" s="21"/>
      <c r="S48" s="21"/>
      <c r="T48" s="21"/>
      <c r="U48" s="5"/>
    </row>
    <row r="49" spans="2:21" ht="16.5" hidden="1" outlineLevel="1" thickBot="1" x14ac:dyDescent="0.4">
      <c r="B49" s="11"/>
      <c r="C49" s="20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8"/>
      <c r="Q49" s="21"/>
      <c r="R49" s="21"/>
      <c r="S49" s="21"/>
      <c r="T49" s="21"/>
      <c r="U49" s="5"/>
    </row>
    <row r="50" spans="2:21" ht="16.5" hidden="1" outlineLevel="1" thickBot="1" x14ac:dyDescent="0.4">
      <c r="B50" s="11" t="s">
        <v>34</v>
      </c>
      <c r="C50" s="20"/>
      <c r="D50" s="44">
        <f>D46-D48</f>
        <v>43817342.583333328</v>
      </c>
      <c r="E50" s="44">
        <f t="shared" ref="E50:O50" si="34">E46-E48</f>
        <v>87634685.166666657</v>
      </c>
      <c r="F50" s="44">
        <f t="shared" si="34"/>
        <v>131452027.74999999</v>
      </c>
      <c r="G50" s="44">
        <f t="shared" si="34"/>
        <v>175269370.33333331</v>
      </c>
      <c r="H50" s="44">
        <f t="shared" si="34"/>
        <v>219086712.91666663</v>
      </c>
      <c r="I50" s="44">
        <f t="shared" si="34"/>
        <v>262904055.49999994</v>
      </c>
      <c r="J50" s="44">
        <f t="shared" si="34"/>
        <v>306721398.08333325</v>
      </c>
      <c r="K50" s="44">
        <f t="shared" si="34"/>
        <v>350538740.66666657</v>
      </c>
      <c r="L50" s="44">
        <f t="shared" si="34"/>
        <v>394356083.24999988</v>
      </c>
      <c r="M50" s="44">
        <f t="shared" si="34"/>
        <v>438173425.83333319</v>
      </c>
      <c r="N50" s="44">
        <f t="shared" si="34"/>
        <v>481990768.41666651</v>
      </c>
      <c r="O50" s="44">
        <f t="shared" si="34"/>
        <v>525808110.99999982</v>
      </c>
      <c r="P50" s="48">
        <f>P46-P48</f>
        <v>525808110.99999952</v>
      </c>
      <c r="Q50" s="21">
        <f t="shared" ref="Q50:T50" si="35">Q46-Q48</f>
        <v>1474933501.849999</v>
      </c>
      <c r="R50" s="21">
        <f t="shared" si="35"/>
        <v>2840334047.6634979</v>
      </c>
      <c r="S50" s="21">
        <f t="shared" si="35"/>
        <v>4768783664.4547014</v>
      </c>
      <c r="T50" s="21">
        <f t="shared" si="35"/>
        <v>7501034918.4826317</v>
      </c>
      <c r="U50" s="5"/>
    </row>
    <row r="51" spans="2:21" ht="16.5" hidden="1" outlineLevel="1" thickBot="1" x14ac:dyDescent="0.4">
      <c r="B51" s="11"/>
      <c r="C51" s="20"/>
      <c r="D51" s="12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1"/>
      <c r="Q51" s="21"/>
      <c r="R51" s="21"/>
      <c r="S51" s="21"/>
      <c r="T51" s="21"/>
      <c r="U51" s="5"/>
    </row>
    <row r="52" spans="2:21" ht="16.5" hidden="1" collapsed="1" thickBot="1" x14ac:dyDescent="0.4">
      <c r="B52" s="11" t="s">
        <v>35</v>
      </c>
      <c r="C52" s="20"/>
      <c r="D52" s="12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12" t="str">
        <f>IF(P50&gt;0,"1 Year"," ")</f>
        <v>1 Year</v>
      </c>
      <c r="Q52" s="12" t="str">
        <f>IF(Q50&gt;0,"2 Year"," ")</f>
        <v>2 Year</v>
      </c>
      <c r="R52" s="12" t="str">
        <f>IF(R50&gt;0,"3 Year"," ")</f>
        <v>3 Year</v>
      </c>
      <c r="S52" s="12" t="str">
        <f>IF(S50&gt;0,"4 Year"," ")</f>
        <v>4 Year</v>
      </c>
      <c r="T52" s="12" t="str">
        <f>IF(T50&gt;0,"5 Year"," ")</f>
        <v>5 Year</v>
      </c>
    </row>
  </sheetData>
  <phoneticPr fontId="2" type="noConversion"/>
  <pageMargins left="0.7" right="0.7" top="0.75" bottom="0.75" header="0.3" footer="0.3"/>
  <pageSetup scale="32" orientation="portrait" r:id="rId1"/>
  <colBreaks count="1" manualBreakCount="1">
    <brk id="16" max="5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Assumption-Inputs</vt:lpstr>
      <vt:lpstr>Computations-Outputs</vt:lpstr>
      <vt:lpstr>'Assumption-Inputs'!Print_Area</vt:lpstr>
      <vt:lpstr>'Computations-Outputs'!Print_Area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john.aigbonohan@medburymedicals.com</dc:creator>
  <cp:lastModifiedBy>MMS PHIA Chief Operational Officer</cp:lastModifiedBy>
  <dcterms:created xsi:type="dcterms:W3CDTF">2023-05-03T11:38:25Z</dcterms:created>
  <dcterms:modified xsi:type="dcterms:W3CDTF">2025-05-03T12:11:14Z</dcterms:modified>
</cp:coreProperties>
</file>