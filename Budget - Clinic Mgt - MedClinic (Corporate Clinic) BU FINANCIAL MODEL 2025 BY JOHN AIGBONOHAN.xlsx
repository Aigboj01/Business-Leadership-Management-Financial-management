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udgets for MMS\"/>
    </mc:Choice>
  </mc:AlternateContent>
  <xr:revisionPtr revIDLastSave="0" documentId="8_{75EA493B-3D64-4AC9-901A-7D2F12697E2E}" xr6:coauthVersionLast="47" xr6:coauthVersionMax="47" xr10:uidLastSave="{00000000-0000-0000-0000-000000000000}"/>
  <bookViews>
    <workbookView xWindow="-110" yWindow="-110" windowWidth="19420" windowHeight="10300" tabRatio="656" activeTab="1" xr2:uid="{DCC26334-2FA6-44C0-B2C4-8055C2EA21FE}"/>
  </bookViews>
  <sheets>
    <sheet name="Assumption (Corp Clinic)" sheetId="2" r:id="rId1"/>
    <sheet name="Computations (Corp Clinic)" sheetId="3" r:id="rId2"/>
    <sheet name="Sheet1" sheetId="1" r:id="rId3"/>
    <sheet name="Assumption (MedClinic-Oando)" sheetId="5" state="hidden" r:id="rId4"/>
    <sheet name="Computations (MedClinic-Oando)" sheetId="6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afril">#REF!</definedName>
    <definedName name="AS2DocOpenMode" hidden="1">"AS2DocumentBrowse"</definedName>
    <definedName name="BS">#REF!</definedName>
    <definedName name="CIQWBGuid" hidden="1">"2cd8126d-26c3-430c-b7fa-a069e3a1fc62"</definedName>
    <definedName name="costaa">#REF!</definedName>
    <definedName name="Department">#REF!</definedName>
    <definedName name="expense">'[1]Exp scxhedule'!$AU$10:$AU$43</definedName>
    <definedName name="Expenses">#REF!</definedName>
    <definedName name="F">#REF!</definedName>
    <definedName name="fs">#REF!</definedName>
    <definedName name="GGGG">#REF!</definedName>
    <definedName name="groupincome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LOCATION">[1]Payables!$W$4:$W$6</definedName>
    <definedName name="Locattion">'[1]Exp scxhedule'!$AX$10:$AX$11</definedName>
    <definedName name="MANS">#REF!</definedName>
    <definedName name="OLDMAN">#REF!</definedName>
    <definedName name="PAC">#REF!</definedName>
    <definedName name="PL">#REF!</definedName>
    <definedName name="_xlnm.Print_Area" localSheetId="1">'Computations (Corp Clinic)'!$A$1:$T$46</definedName>
    <definedName name="_xlnm.Print_Area" localSheetId="4">'Computations (MedClinic-Oando)'!$A$1:$T$49</definedName>
    <definedName name="REGISTRAR">#REF!</definedName>
    <definedName name="SCHD3">#REF!</definedName>
    <definedName name="SCHED1">#REF!</definedName>
    <definedName name="SCHED2">#REF!</definedName>
    <definedName name="SCHED3">#REF!</definedName>
    <definedName name="SCHED4">#REF!</definedName>
    <definedName name="SEMI">#REF!</definedName>
    <definedName name="SSES">#REF!</definedName>
    <definedName name="STAT">'[1]Exp scxhedule'!$AY$10:$AY$13</definedName>
    <definedName name="SUMMARY">#REF!</definedName>
    <definedName name="yy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3" i="3" l="1"/>
  <c r="R43" i="3"/>
  <c r="S43" i="3"/>
  <c r="T43" i="3"/>
  <c r="Q37" i="3"/>
  <c r="R37" i="3"/>
  <c r="S37" i="3"/>
  <c r="T37" i="3"/>
  <c r="E37" i="3"/>
  <c r="F37" i="3"/>
  <c r="G37" i="3"/>
  <c r="H37" i="3"/>
  <c r="I37" i="3"/>
  <c r="J37" i="3"/>
  <c r="K37" i="3"/>
  <c r="L37" i="3"/>
  <c r="M37" i="3"/>
  <c r="N37" i="3"/>
  <c r="O37" i="3"/>
  <c r="P37" i="3"/>
  <c r="D37" i="3"/>
  <c r="D41" i="3"/>
  <c r="D43" i="3" s="1"/>
  <c r="E41" i="3" l="1"/>
  <c r="F41" i="3" s="1"/>
  <c r="G41" i="3" s="1"/>
  <c r="H41" i="3" s="1"/>
  <c r="I41" i="3" s="1"/>
  <c r="J41" i="3" s="1"/>
  <c r="K41" i="3" s="1"/>
  <c r="L41" i="3" s="1"/>
  <c r="M41" i="3" s="1"/>
  <c r="N41" i="3" s="1"/>
  <c r="O41" i="3" s="1"/>
  <c r="P41" i="3" l="1"/>
  <c r="Q41" i="3" s="1"/>
  <c r="R41" i="3" s="1"/>
  <c r="S41" i="3" s="1"/>
  <c r="T41" i="3" s="1"/>
  <c r="D117" i="2" l="1"/>
  <c r="E16" i="2"/>
  <c r="F16" i="2"/>
  <c r="G16" i="2"/>
  <c r="H16" i="2"/>
  <c r="I16" i="2"/>
  <c r="J16" i="2"/>
  <c r="K16" i="2"/>
  <c r="L16" i="2"/>
  <c r="M16" i="2"/>
  <c r="N16" i="2"/>
  <c r="O16" i="2"/>
  <c r="E17" i="2"/>
  <c r="F17" i="2"/>
  <c r="G17" i="2"/>
  <c r="H17" i="2"/>
  <c r="I17" i="2"/>
  <c r="J17" i="2"/>
  <c r="K17" i="2"/>
  <c r="L17" i="2"/>
  <c r="M17" i="2"/>
  <c r="N17" i="2"/>
  <c r="O17" i="2"/>
  <c r="E18" i="2"/>
  <c r="F18" i="2"/>
  <c r="G18" i="2"/>
  <c r="H18" i="2"/>
  <c r="I18" i="2"/>
  <c r="J18" i="2"/>
  <c r="K18" i="2"/>
  <c r="L18" i="2"/>
  <c r="M18" i="2"/>
  <c r="N18" i="2"/>
  <c r="O18" i="2"/>
  <c r="E19" i="2"/>
  <c r="F19" i="2"/>
  <c r="G19" i="2"/>
  <c r="H19" i="2"/>
  <c r="I19" i="2"/>
  <c r="J19" i="2"/>
  <c r="K19" i="2"/>
  <c r="L19" i="2"/>
  <c r="M19" i="2"/>
  <c r="N19" i="2"/>
  <c r="O19" i="2"/>
  <c r="D17" i="2"/>
  <c r="D18" i="2"/>
  <c r="D19" i="2"/>
  <c r="D16" i="2"/>
  <c r="E8" i="2"/>
  <c r="F8" i="2"/>
  <c r="G8" i="2"/>
  <c r="H8" i="2"/>
  <c r="I8" i="2"/>
  <c r="J8" i="2"/>
  <c r="K8" i="2"/>
  <c r="L8" i="2"/>
  <c r="M8" i="2"/>
  <c r="N8" i="2"/>
  <c r="O8" i="2"/>
  <c r="E9" i="2"/>
  <c r="F9" i="2"/>
  <c r="G9" i="2"/>
  <c r="H9" i="2"/>
  <c r="I9" i="2"/>
  <c r="J9" i="2"/>
  <c r="K9" i="2"/>
  <c r="L9" i="2"/>
  <c r="M9" i="2"/>
  <c r="N9" i="2"/>
  <c r="O9" i="2"/>
  <c r="E10" i="2"/>
  <c r="F10" i="2"/>
  <c r="G10" i="2"/>
  <c r="H10" i="2"/>
  <c r="I10" i="2"/>
  <c r="J10" i="2"/>
  <c r="K10" i="2"/>
  <c r="L10" i="2"/>
  <c r="M10" i="2"/>
  <c r="N10" i="2"/>
  <c r="O10" i="2"/>
  <c r="E11" i="2"/>
  <c r="F11" i="2"/>
  <c r="G11" i="2"/>
  <c r="H11" i="2"/>
  <c r="I11" i="2"/>
  <c r="J11" i="2"/>
  <c r="K11" i="2"/>
  <c r="L11" i="2"/>
  <c r="M11" i="2"/>
  <c r="N11" i="2"/>
  <c r="O11" i="2"/>
  <c r="D9" i="2"/>
  <c r="D10" i="2"/>
  <c r="D11" i="2"/>
  <c r="D8" i="2"/>
  <c r="P47" i="2" l="1"/>
  <c r="P48" i="2"/>
  <c r="P49" i="2"/>
  <c r="P50" i="2"/>
  <c r="P39" i="2"/>
  <c r="P40" i="2"/>
  <c r="P41" i="2"/>
  <c r="P42" i="2"/>
  <c r="P17" i="2"/>
  <c r="P18" i="2"/>
  <c r="P19" i="2"/>
  <c r="P16" i="2"/>
  <c r="P8" i="2"/>
  <c r="P9" i="2"/>
  <c r="P10" i="2"/>
  <c r="P11" i="2"/>
  <c r="E29" i="2"/>
  <c r="F29" i="2" s="1"/>
  <c r="G29" i="2" s="1"/>
  <c r="H29" i="2" s="1"/>
  <c r="I29" i="2" s="1"/>
  <c r="J29" i="2" s="1"/>
  <c r="K29" i="2" s="1"/>
  <c r="L29" i="2" s="1"/>
  <c r="M29" i="2" s="1"/>
  <c r="N29" i="2" s="1"/>
  <c r="O29" i="2" s="1"/>
  <c r="E59" i="2"/>
  <c r="F59" i="2" s="1"/>
  <c r="G59" i="2" s="1"/>
  <c r="H59" i="2" s="1"/>
  <c r="I59" i="2" s="1"/>
  <c r="J59" i="2" s="1"/>
  <c r="K59" i="2" s="1"/>
  <c r="L59" i="2" s="1"/>
  <c r="M59" i="2" s="1"/>
  <c r="N59" i="2" s="1"/>
  <c r="O59" i="2" s="1"/>
  <c r="E87" i="2"/>
  <c r="E88" i="2"/>
  <c r="F88" i="2" s="1"/>
  <c r="G88" i="2" s="1"/>
  <c r="H88" i="2" s="1"/>
  <c r="I88" i="2" s="1"/>
  <c r="J88" i="2" s="1"/>
  <c r="K88" i="2" s="1"/>
  <c r="L88" i="2" s="1"/>
  <c r="M88" i="2" s="1"/>
  <c r="N88" i="2" s="1"/>
  <c r="O88" i="2" s="1"/>
  <c r="D85" i="2"/>
  <c r="D58" i="2"/>
  <c r="E58" i="2" s="1"/>
  <c r="F58" i="2" s="1"/>
  <c r="G58" i="2" s="1"/>
  <c r="H58" i="2" s="1"/>
  <c r="I58" i="2" s="1"/>
  <c r="J58" i="2" s="1"/>
  <c r="K58" i="2" s="1"/>
  <c r="L58" i="2" s="1"/>
  <c r="M58" i="2" s="1"/>
  <c r="N58" i="2" s="1"/>
  <c r="O58" i="2" s="1"/>
  <c r="D86" i="2"/>
  <c r="E57" i="2" l="1"/>
  <c r="F57" i="2"/>
  <c r="G57" i="2"/>
  <c r="H57" i="2"/>
  <c r="I57" i="2"/>
  <c r="J57" i="2"/>
  <c r="K57" i="2"/>
  <c r="L57" i="2"/>
  <c r="M57" i="2"/>
  <c r="N57" i="2"/>
  <c r="O57" i="2"/>
  <c r="D25" i="6"/>
  <c r="E25" i="6"/>
  <c r="F25" i="6"/>
  <c r="G25" i="6"/>
  <c r="H25" i="6"/>
  <c r="I25" i="6"/>
  <c r="J25" i="6"/>
  <c r="K25" i="6"/>
  <c r="L25" i="6"/>
  <c r="M25" i="6"/>
  <c r="N25" i="6"/>
  <c r="O25" i="6"/>
  <c r="D27" i="6"/>
  <c r="E27" i="6"/>
  <c r="F27" i="6"/>
  <c r="G27" i="6"/>
  <c r="H27" i="6"/>
  <c r="I27" i="6"/>
  <c r="J27" i="6"/>
  <c r="K27" i="6"/>
  <c r="L27" i="6"/>
  <c r="M27" i="6"/>
  <c r="N27" i="6"/>
  <c r="O27" i="6"/>
  <c r="D30" i="6"/>
  <c r="E30" i="6"/>
  <c r="F30" i="6"/>
  <c r="G30" i="6"/>
  <c r="H30" i="6"/>
  <c r="I30" i="6"/>
  <c r="J30" i="6"/>
  <c r="K30" i="6"/>
  <c r="L30" i="6"/>
  <c r="M30" i="6"/>
  <c r="N30" i="6"/>
  <c r="O30" i="6"/>
  <c r="D32" i="6"/>
  <c r="E32" i="6"/>
  <c r="F32" i="6"/>
  <c r="G32" i="6"/>
  <c r="H32" i="6"/>
  <c r="I32" i="6"/>
  <c r="J32" i="6"/>
  <c r="K32" i="6"/>
  <c r="L32" i="6"/>
  <c r="M32" i="6"/>
  <c r="N32" i="6"/>
  <c r="O32" i="6"/>
  <c r="D34" i="6"/>
  <c r="E34" i="6"/>
  <c r="F34" i="6"/>
  <c r="G34" i="6"/>
  <c r="H34" i="6"/>
  <c r="I34" i="6"/>
  <c r="J34" i="6"/>
  <c r="K34" i="6"/>
  <c r="L34" i="6"/>
  <c r="M34" i="6"/>
  <c r="N34" i="6"/>
  <c r="O34" i="6"/>
  <c r="D35" i="6"/>
  <c r="E35" i="6"/>
  <c r="F35" i="6"/>
  <c r="G35" i="6"/>
  <c r="H35" i="6"/>
  <c r="I35" i="6"/>
  <c r="J35" i="6"/>
  <c r="K35" i="6"/>
  <c r="L35" i="6"/>
  <c r="M35" i="6"/>
  <c r="N35" i="6"/>
  <c r="O35" i="6"/>
  <c r="D37" i="6"/>
  <c r="E37" i="6"/>
  <c r="F37" i="6"/>
  <c r="G37" i="6"/>
  <c r="H37" i="6"/>
  <c r="I37" i="6"/>
  <c r="J37" i="6"/>
  <c r="K37" i="6"/>
  <c r="L37" i="6"/>
  <c r="M37" i="6"/>
  <c r="N37" i="6"/>
  <c r="O37" i="6"/>
  <c r="D88" i="5"/>
  <c r="D33" i="6" s="1"/>
  <c r="K33" i="6" l="1"/>
  <c r="J33" i="6"/>
  <c r="I33" i="6"/>
  <c r="H33" i="6"/>
  <c r="O33" i="6"/>
  <c r="G33" i="6"/>
  <c r="N33" i="6"/>
  <c r="F33" i="6"/>
  <c r="M33" i="6"/>
  <c r="E33" i="6"/>
  <c r="L33" i="6"/>
  <c r="R15" i="6" l="1"/>
  <c r="S15" i="6" s="1"/>
  <c r="T15" i="6" s="1"/>
  <c r="D91" i="5"/>
  <c r="D43" i="6"/>
  <c r="E43" i="6" s="1"/>
  <c r="F43" i="6" s="1"/>
  <c r="G43" i="6" s="1"/>
  <c r="H43" i="6" s="1"/>
  <c r="I43" i="6" s="1"/>
  <c r="J43" i="6" s="1"/>
  <c r="K43" i="6" s="1"/>
  <c r="L43" i="6" s="1"/>
  <c r="M43" i="6" s="1"/>
  <c r="N43" i="6" s="1"/>
  <c r="O43" i="6" s="1"/>
  <c r="U87" i="5"/>
  <c r="U86" i="5"/>
  <c r="K86" i="5"/>
  <c r="U85" i="5"/>
  <c r="U84" i="5"/>
  <c r="D84" i="5"/>
  <c r="U83" i="5"/>
  <c r="D81" i="5"/>
  <c r="U79" i="5"/>
  <c r="T78" i="5"/>
  <c r="U78" i="5" s="1"/>
  <c r="D62" i="5"/>
  <c r="E62" i="5" s="1"/>
  <c r="F62" i="5" s="1"/>
  <c r="G62" i="5" s="1"/>
  <c r="H62" i="5" s="1"/>
  <c r="I62" i="5" s="1"/>
  <c r="J62" i="5" s="1"/>
  <c r="K62" i="5" s="1"/>
  <c r="L62" i="5" s="1"/>
  <c r="M62" i="5" s="1"/>
  <c r="N62" i="5" s="1"/>
  <c r="O62" i="5" s="1"/>
  <c r="D61" i="5"/>
  <c r="E61" i="5" s="1"/>
  <c r="F61" i="5" s="1"/>
  <c r="G61" i="5" s="1"/>
  <c r="H61" i="5" s="1"/>
  <c r="I61" i="5" s="1"/>
  <c r="J61" i="5" s="1"/>
  <c r="K61" i="5" s="1"/>
  <c r="L61" i="5" s="1"/>
  <c r="M61" i="5" s="1"/>
  <c r="N61" i="5" s="1"/>
  <c r="O61" i="5" s="1"/>
  <c r="D60" i="5"/>
  <c r="E60" i="5" s="1"/>
  <c r="F60" i="5" s="1"/>
  <c r="G60" i="5" s="1"/>
  <c r="H60" i="5" s="1"/>
  <c r="I60" i="5" s="1"/>
  <c r="J60" i="5" s="1"/>
  <c r="K60" i="5" s="1"/>
  <c r="L60" i="5" s="1"/>
  <c r="M60" i="5" s="1"/>
  <c r="N60" i="5" s="1"/>
  <c r="O60" i="5" s="1"/>
  <c r="D59" i="5"/>
  <c r="E58" i="5"/>
  <c r="F58" i="5" s="1"/>
  <c r="G58" i="5" s="1"/>
  <c r="H58" i="5" s="1"/>
  <c r="I58" i="5" s="1"/>
  <c r="J58" i="5" s="1"/>
  <c r="K58" i="5" s="1"/>
  <c r="L58" i="5" s="1"/>
  <c r="M58" i="5" s="1"/>
  <c r="N58" i="5" s="1"/>
  <c r="O58" i="5" s="1"/>
  <c r="D57" i="5"/>
  <c r="E57" i="5" s="1"/>
  <c r="F57" i="5" s="1"/>
  <c r="G57" i="5" s="1"/>
  <c r="H57" i="5" s="1"/>
  <c r="I57" i="5" s="1"/>
  <c r="J57" i="5" s="1"/>
  <c r="K57" i="5" s="1"/>
  <c r="L57" i="5" s="1"/>
  <c r="M57" i="5" s="1"/>
  <c r="N57" i="5" s="1"/>
  <c r="O57" i="5" s="1"/>
  <c r="E54" i="5"/>
  <c r="F54" i="5" s="1"/>
  <c r="G54" i="5" s="1"/>
  <c r="H54" i="5" s="1"/>
  <c r="E53" i="5"/>
  <c r="E10" i="5" s="1"/>
  <c r="E52" i="5"/>
  <c r="F52" i="5" s="1"/>
  <c r="G52" i="5" s="1"/>
  <c r="H52" i="5" s="1"/>
  <c r="E51" i="5"/>
  <c r="F51" i="5" s="1"/>
  <c r="G51" i="5" s="1"/>
  <c r="G8" i="5" s="1"/>
  <c r="E50" i="5"/>
  <c r="F50" i="5" s="1"/>
  <c r="E49" i="5"/>
  <c r="E6" i="5" s="1"/>
  <c r="E48" i="5"/>
  <c r="F48" i="5" s="1"/>
  <c r="E47" i="5"/>
  <c r="F47" i="5" s="1"/>
  <c r="P43" i="5"/>
  <c r="P42" i="5"/>
  <c r="D36" i="5"/>
  <c r="P34" i="5"/>
  <c r="P32" i="5"/>
  <c r="P31" i="5"/>
  <c r="P28" i="5"/>
  <c r="P27" i="5"/>
  <c r="F26" i="5"/>
  <c r="E26" i="5"/>
  <c r="D26" i="5"/>
  <c r="E21" i="5"/>
  <c r="F21" i="5" s="1"/>
  <c r="D16" i="5"/>
  <c r="D11" i="5"/>
  <c r="D10" i="5"/>
  <c r="D9" i="5"/>
  <c r="D8" i="5"/>
  <c r="D7" i="5"/>
  <c r="D6" i="5"/>
  <c r="D5" i="5"/>
  <c r="D4" i="5"/>
  <c r="D35" i="3"/>
  <c r="D33" i="3"/>
  <c r="D32" i="3"/>
  <c r="D30" i="3"/>
  <c r="E30" i="3" s="1"/>
  <c r="F30" i="3" s="1"/>
  <c r="G30" i="3" s="1"/>
  <c r="H30" i="3" s="1"/>
  <c r="I30" i="3" s="1"/>
  <c r="J30" i="3" s="1"/>
  <c r="K30" i="3" s="1"/>
  <c r="L30" i="3" s="1"/>
  <c r="M30" i="3" s="1"/>
  <c r="N30" i="3" s="1"/>
  <c r="O30" i="3" s="1"/>
  <c r="D27" i="3"/>
  <c r="D25" i="3"/>
  <c r="R15" i="3"/>
  <c r="S15" i="3" s="1"/>
  <c r="T15" i="3" s="1"/>
  <c r="D116" i="2"/>
  <c r="D114" i="2"/>
  <c r="U112" i="2"/>
  <c r="U111" i="2"/>
  <c r="K111" i="2"/>
  <c r="U110" i="2"/>
  <c r="U109" i="2"/>
  <c r="D109" i="2"/>
  <c r="D29" i="3" s="1"/>
  <c r="E29" i="3" s="1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U108" i="2"/>
  <c r="D106" i="2"/>
  <c r="D26" i="3" s="1"/>
  <c r="U104" i="2"/>
  <c r="T103" i="2"/>
  <c r="U103" i="2" s="1"/>
  <c r="E86" i="2"/>
  <c r="F86" i="2" s="1"/>
  <c r="G86" i="2" s="1"/>
  <c r="H86" i="2" s="1"/>
  <c r="I86" i="2" s="1"/>
  <c r="J86" i="2" s="1"/>
  <c r="K86" i="2" s="1"/>
  <c r="L86" i="2" s="1"/>
  <c r="M86" i="2" s="1"/>
  <c r="N86" i="2" s="1"/>
  <c r="O86" i="2" s="1"/>
  <c r="E85" i="2"/>
  <c r="F85" i="2" s="1"/>
  <c r="G85" i="2" s="1"/>
  <c r="H85" i="2" s="1"/>
  <c r="I85" i="2" s="1"/>
  <c r="J85" i="2" s="1"/>
  <c r="K85" i="2" s="1"/>
  <c r="L85" i="2" s="1"/>
  <c r="M85" i="2" s="1"/>
  <c r="N85" i="2" s="1"/>
  <c r="O85" i="2" s="1"/>
  <c r="D84" i="2"/>
  <c r="D26" i="2" s="1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O26" i="2" s="1"/>
  <c r="D83" i="2"/>
  <c r="E83" i="2" s="1"/>
  <c r="F83" i="2" s="1"/>
  <c r="G83" i="2" s="1"/>
  <c r="H83" i="2" s="1"/>
  <c r="I83" i="2" s="1"/>
  <c r="J83" i="2" s="1"/>
  <c r="K83" i="2" s="1"/>
  <c r="L83" i="2" s="1"/>
  <c r="M83" i="2" s="1"/>
  <c r="N83" i="2" s="1"/>
  <c r="O83" i="2" s="1"/>
  <c r="E82" i="2"/>
  <c r="F82" i="2" s="1"/>
  <c r="G82" i="2" s="1"/>
  <c r="H82" i="2" s="1"/>
  <c r="I82" i="2" s="1"/>
  <c r="J82" i="2" s="1"/>
  <c r="K82" i="2" s="1"/>
  <c r="L82" i="2" s="1"/>
  <c r="M82" i="2" s="1"/>
  <c r="N82" i="2" s="1"/>
  <c r="O82" i="2" s="1"/>
  <c r="D81" i="2"/>
  <c r="E81" i="2" s="1"/>
  <c r="F81" i="2" s="1"/>
  <c r="G81" i="2" s="1"/>
  <c r="H81" i="2" s="1"/>
  <c r="I81" i="2" s="1"/>
  <c r="J81" i="2" s="1"/>
  <c r="K81" i="2" s="1"/>
  <c r="L81" i="2" s="1"/>
  <c r="M81" i="2" s="1"/>
  <c r="N81" i="2" s="1"/>
  <c r="O81" i="2" s="1"/>
  <c r="E74" i="2"/>
  <c r="F74" i="2" s="1"/>
  <c r="E73" i="2"/>
  <c r="E14" i="2" s="1"/>
  <c r="E72" i="2"/>
  <c r="E71" i="2"/>
  <c r="F71" i="2" s="1"/>
  <c r="E66" i="2"/>
  <c r="F66" i="2" s="1"/>
  <c r="E65" i="2"/>
  <c r="F65" i="2" s="1"/>
  <c r="E64" i="2"/>
  <c r="E5" i="2" s="1"/>
  <c r="E63" i="2"/>
  <c r="E4" i="2" s="1"/>
  <c r="P59" i="2"/>
  <c r="P58" i="2"/>
  <c r="D57" i="2"/>
  <c r="E56" i="2"/>
  <c r="E55" i="2"/>
  <c r="E54" i="2"/>
  <c r="E53" i="2"/>
  <c r="F53" i="2" s="1"/>
  <c r="G53" i="2" s="1"/>
  <c r="D52" i="2"/>
  <c r="P46" i="2"/>
  <c r="G45" i="2"/>
  <c r="P44" i="2"/>
  <c r="P43" i="2"/>
  <c r="G38" i="2"/>
  <c r="H38" i="2" s="1"/>
  <c r="I38" i="2" s="1"/>
  <c r="J38" i="2" s="1"/>
  <c r="G37" i="2"/>
  <c r="P36" i="2"/>
  <c r="P35" i="2"/>
  <c r="F34" i="2"/>
  <c r="E34" i="2"/>
  <c r="D34" i="2"/>
  <c r="D24" i="2"/>
  <c r="D15" i="2"/>
  <c r="D14" i="2"/>
  <c r="D13" i="2"/>
  <c r="D12" i="2"/>
  <c r="D7" i="2"/>
  <c r="D6" i="2"/>
  <c r="D5" i="2"/>
  <c r="D4" i="2"/>
  <c r="D3" i="2" l="1"/>
  <c r="D6" i="3" s="1"/>
  <c r="H36" i="6"/>
  <c r="I36" i="6"/>
  <c r="J36" i="6"/>
  <c r="K36" i="6"/>
  <c r="G36" i="6"/>
  <c r="O36" i="6"/>
  <c r="D36" i="6"/>
  <c r="L36" i="6"/>
  <c r="E36" i="6"/>
  <c r="M36" i="6"/>
  <c r="F36" i="6"/>
  <c r="N36" i="6"/>
  <c r="H26" i="6"/>
  <c r="I26" i="6"/>
  <c r="J26" i="6"/>
  <c r="K26" i="6"/>
  <c r="G26" i="6"/>
  <c r="O26" i="6"/>
  <c r="D26" i="6"/>
  <c r="L26" i="6"/>
  <c r="E26" i="6"/>
  <c r="M26" i="6"/>
  <c r="F26" i="6"/>
  <c r="N26" i="6"/>
  <c r="D29" i="6"/>
  <c r="L29" i="6"/>
  <c r="E29" i="6"/>
  <c r="M29" i="6"/>
  <c r="F29" i="6"/>
  <c r="N29" i="6"/>
  <c r="G29" i="6"/>
  <c r="O29" i="6"/>
  <c r="K29" i="6"/>
  <c r="H29" i="6"/>
  <c r="I29" i="6"/>
  <c r="J29" i="6"/>
  <c r="U81" i="5"/>
  <c r="G11" i="5"/>
  <c r="E8" i="5"/>
  <c r="E36" i="5"/>
  <c r="F9" i="5"/>
  <c r="E5" i="5"/>
  <c r="E7" i="5"/>
  <c r="D18" i="5"/>
  <c r="E18" i="5" s="1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G50" i="5"/>
  <c r="H50" i="5" s="1"/>
  <c r="I50" i="5" s="1"/>
  <c r="J50" i="5" s="1"/>
  <c r="K50" i="5" s="1"/>
  <c r="L50" i="5" s="1"/>
  <c r="M50" i="5" s="1"/>
  <c r="N50" i="5" s="1"/>
  <c r="O50" i="5" s="1"/>
  <c r="F7" i="5"/>
  <c r="E9" i="5"/>
  <c r="D15" i="5"/>
  <c r="E15" i="5" s="1"/>
  <c r="F15" i="5" s="1"/>
  <c r="G9" i="5"/>
  <c r="D19" i="5"/>
  <c r="E19" i="5" s="1"/>
  <c r="F19" i="5" s="1"/>
  <c r="G19" i="5" s="1"/>
  <c r="H19" i="5" s="1"/>
  <c r="I19" i="5" s="1"/>
  <c r="J19" i="5" s="1"/>
  <c r="K19" i="5" s="1"/>
  <c r="L19" i="5" s="1"/>
  <c r="M19" i="5" s="1"/>
  <c r="N19" i="5" s="1"/>
  <c r="O19" i="5" s="1"/>
  <c r="D3" i="5"/>
  <c r="D6" i="6" s="1"/>
  <c r="E11" i="5"/>
  <c r="D20" i="5"/>
  <c r="E20" i="5" s="1"/>
  <c r="F20" i="5" s="1"/>
  <c r="G20" i="5" s="1"/>
  <c r="H20" i="5" s="1"/>
  <c r="I20" i="5" s="1"/>
  <c r="J20" i="5" s="1"/>
  <c r="K20" i="5" s="1"/>
  <c r="L20" i="5" s="1"/>
  <c r="M20" i="5" s="1"/>
  <c r="N20" i="5" s="1"/>
  <c r="O20" i="5" s="1"/>
  <c r="E4" i="5"/>
  <c r="F11" i="5"/>
  <c r="I52" i="5"/>
  <c r="H9" i="5"/>
  <c r="F8" i="5"/>
  <c r="H51" i="5"/>
  <c r="F53" i="5"/>
  <c r="P43" i="6"/>
  <c r="Q43" i="6" s="1"/>
  <c r="R43" i="6" s="1"/>
  <c r="S43" i="6" s="1"/>
  <c r="T43" i="6" s="1"/>
  <c r="G21" i="5"/>
  <c r="H21" i="5" s="1"/>
  <c r="I21" i="5" s="1"/>
  <c r="J21" i="5" s="1"/>
  <c r="K21" i="5" s="1"/>
  <c r="L21" i="5" s="1"/>
  <c r="M21" i="5" s="1"/>
  <c r="N21" i="5" s="1"/>
  <c r="O21" i="5" s="1"/>
  <c r="G26" i="5"/>
  <c r="G16" i="5"/>
  <c r="F4" i="5"/>
  <c r="G47" i="5"/>
  <c r="G48" i="5"/>
  <c r="F5" i="5"/>
  <c r="H16" i="5"/>
  <c r="P41" i="5"/>
  <c r="F49" i="5"/>
  <c r="I54" i="5"/>
  <c r="H11" i="5"/>
  <c r="I16" i="5"/>
  <c r="F16" i="5"/>
  <c r="E59" i="5"/>
  <c r="D17" i="5"/>
  <c r="E16" i="5"/>
  <c r="U88" i="5"/>
  <c r="D72" i="5" s="1"/>
  <c r="D13" i="6" s="1"/>
  <c r="P30" i="6"/>
  <c r="Q30" i="6" s="1"/>
  <c r="R30" i="6" s="1"/>
  <c r="S30" i="6" s="1"/>
  <c r="T30" i="6" s="1"/>
  <c r="E24" i="2"/>
  <c r="E15" i="2"/>
  <c r="U106" i="2"/>
  <c r="E6" i="2"/>
  <c r="D28" i="2"/>
  <c r="E28" i="2" s="1"/>
  <c r="F28" i="2" s="1"/>
  <c r="G28" i="2" s="1"/>
  <c r="H28" i="2" s="1"/>
  <c r="I28" i="2" s="1"/>
  <c r="J28" i="2" s="1"/>
  <c r="K28" i="2" s="1"/>
  <c r="L28" i="2" s="1"/>
  <c r="M28" i="2" s="1"/>
  <c r="N28" i="2" s="1"/>
  <c r="O28" i="2" s="1"/>
  <c r="D34" i="3"/>
  <c r="E34" i="3" s="1"/>
  <c r="F34" i="3" s="1"/>
  <c r="G34" i="3" s="1"/>
  <c r="H34" i="3" s="1"/>
  <c r="I34" i="3" s="1"/>
  <c r="J34" i="3" s="1"/>
  <c r="K34" i="3" s="1"/>
  <c r="L34" i="3" s="1"/>
  <c r="M34" i="3" s="1"/>
  <c r="N34" i="3" s="1"/>
  <c r="O34" i="3" s="1"/>
  <c r="G34" i="2"/>
  <c r="E84" i="2"/>
  <c r="F84" i="2" s="1"/>
  <c r="G84" i="2" s="1"/>
  <c r="H84" i="2" s="1"/>
  <c r="I84" i="2" s="1"/>
  <c r="J84" i="2" s="1"/>
  <c r="K84" i="2" s="1"/>
  <c r="L84" i="2" s="1"/>
  <c r="M84" i="2" s="1"/>
  <c r="N84" i="2" s="1"/>
  <c r="O84" i="2" s="1"/>
  <c r="D25" i="2"/>
  <c r="F73" i="2"/>
  <c r="G73" i="2" s="1"/>
  <c r="H73" i="2" s="1"/>
  <c r="I73" i="2" s="1"/>
  <c r="J73" i="2" s="1"/>
  <c r="K73" i="2" s="1"/>
  <c r="L73" i="2" s="1"/>
  <c r="M73" i="2" s="1"/>
  <c r="N73" i="2" s="1"/>
  <c r="O73" i="2" s="1"/>
  <c r="F64" i="2"/>
  <c r="F15" i="2"/>
  <c r="G74" i="2"/>
  <c r="H74" i="2" s="1"/>
  <c r="E52" i="2"/>
  <c r="U113" i="2"/>
  <c r="D97" i="2" s="1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E32" i="3"/>
  <c r="F32" i="3" s="1"/>
  <c r="G32" i="3" s="1"/>
  <c r="H32" i="3" s="1"/>
  <c r="I32" i="3" s="1"/>
  <c r="J32" i="3" s="1"/>
  <c r="K32" i="3" s="1"/>
  <c r="L32" i="3" s="1"/>
  <c r="M32" i="3" s="1"/>
  <c r="N32" i="3" s="1"/>
  <c r="O32" i="3" s="1"/>
  <c r="E7" i="2"/>
  <c r="D23" i="2"/>
  <c r="E23" i="2" s="1"/>
  <c r="F54" i="2"/>
  <c r="E26" i="3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K38" i="2"/>
  <c r="F12" i="2"/>
  <c r="G71" i="2"/>
  <c r="F7" i="2"/>
  <c r="G66" i="2"/>
  <c r="H66" i="2" s="1"/>
  <c r="F55" i="2"/>
  <c r="E25" i="2"/>
  <c r="P57" i="2"/>
  <c r="F63" i="2"/>
  <c r="G65" i="2"/>
  <c r="H65" i="2" s="1"/>
  <c r="I65" i="2" s="1"/>
  <c r="J65" i="2" s="1"/>
  <c r="K65" i="2" s="1"/>
  <c r="L65" i="2" s="1"/>
  <c r="M65" i="2" s="1"/>
  <c r="N65" i="2" s="1"/>
  <c r="O65" i="2" s="1"/>
  <c r="F6" i="2"/>
  <c r="P26" i="2"/>
  <c r="E12" i="2"/>
  <c r="D27" i="2"/>
  <c r="H45" i="2"/>
  <c r="F72" i="2"/>
  <c r="E13" i="2"/>
  <c r="H53" i="2"/>
  <c r="P29" i="3"/>
  <c r="Q29" i="3" s="1"/>
  <c r="R29" i="3" s="1"/>
  <c r="S29" i="3" s="1"/>
  <c r="T29" i="3" s="1"/>
  <c r="H37" i="2"/>
  <c r="F56" i="2"/>
  <c r="G56" i="2" s="1"/>
  <c r="H56" i="2" s="1"/>
  <c r="I56" i="2" s="1"/>
  <c r="J56" i="2" s="1"/>
  <c r="K56" i="2" s="1"/>
  <c r="L56" i="2" s="1"/>
  <c r="M56" i="2" s="1"/>
  <c r="N56" i="2" s="1"/>
  <c r="O56" i="2" s="1"/>
  <c r="E27" i="3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E33" i="3"/>
  <c r="F33" i="3" s="1"/>
  <c r="G33" i="3" s="1"/>
  <c r="H33" i="3" s="1"/>
  <c r="I33" i="3" s="1"/>
  <c r="J33" i="3" s="1"/>
  <c r="K33" i="3" s="1"/>
  <c r="L33" i="3" s="1"/>
  <c r="M33" i="3" s="1"/>
  <c r="N33" i="3" s="1"/>
  <c r="O33" i="3" s="1"/>
  <c r="P30" i="3"/>
  <c r="Q30" i="3" s="1"/>
  <c r="R30" i="3" s="1"/>
  <c r="S30" i="3" s="1"/>
  <c r="T30" i="3" s="1"/>
  <c r="E25" i="3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E35" i="3"/>
  <c r="F35" i="3" s="1"/>
  <c r="G35" i="3" s="1"/>
  <c r="H35" i="3" s="1"/>
  <c r="I35" i="3" s="1"/>
  <c r="J35" i="3" s="1"/>
  <c r="K35" i="3" s="1"/>
  <c r="L35" i="3" s="1"/>
  <c r="M35" i="3" s="1"/>
  <c r="N35" i="3" s="1"/>
  <c r="O35" i="3" s="1"/>
  <c r="E3" i="2" l="1"/>
  <c r="E6" i="3" s="1"/>
  <c r="E3" i="5"/>
  <c r="E6" i="6" s="1"/>
  <c r="P29" i="6"/>
  <c r="Q29" i="6" s="1"/>
  <c r="R29" i="6" s="1"/>
  <c r="S29" i="6" s="1"/>
  <c r="T29" i="6" s="1"/>
  <c r="G7" i="5"/>
  <c r="P26" i="6"/>
  <c r="Q26" i="6" s="1"/>
  <c r="R26" i="6" s="1"/>
  <c r="S26" i="6" s="1"/>
  <c r="T26" i="6" s="1"/>
  <c r="P40" i="5"/>
  <c r="D14" i="5"/>
  <c r="D7" i="6" s="1"/>
  <c r="D9" i="6" s="1"/>
  <c r="P36" i="6"/>
  <c r="Q36" i="6" s="1"/>
  <c r="R36" i="6" s="1"/>
  <c r="S36" i="6" s="1"/>
  <c r="T36" i="6" s="1"/>
  <c r="P27" i="6"/>
  <c r="Q27" i="6" s="1"/>
  <c r="R27" i="6" s="1"/>
  <c r="S27" i="6" s="1"/>
  <c r="T27" i="6" s="1"/>
  <c r="P18" i="5"/>
  <c r="J54" i="5"/>
  <c r="I11" i="5"/>
  <c r="E13" i="6"/>
  <c r="F13" i="6" s="1"/>
  <c r="G13" i="6" s="1"/>
  <c r="H13" i="6" s="1"/>
  <c r="I13" i="6" s="1"/>
  <c r="J13" i="6" s="1"/>
  <c r="K13" i="6" s="1"/>
  <c r="L13" i="6" s="1"/>
  <c r="M13" i="6" s="1"/>
  <c r="N13" i="6" s="1"/>
  <c r="O13" i="6" s="1"/>
  <c r="E17" i="5"/>
  <c r="E14" i="5" s="1"/>
  <c r="F59" i="5"/>
  <c r="P25" i="6"/>
  <c r="Q25" i="6" s="1"/>
  <c r="R25" i="6" s="1"/>
  <c r="S25" i="6" s="1"/>
  <c r="T25" i="6" s="1"/>
  <c r="P32" i="6"/>
  <c r="Q32" i="6" s="1"/>
  <c r="R32" i="6" s="1"/>
  <c r="S32" i="6" s="1"/>
  <c r="T32" i="6" s="1"/>
  <c r="P19" i="5"/>
  <c r="I51" i="5"/>
  <c r="H8" i="5"/>
  <c r="J16" i="5"/>
  <c r="F36" i="5"/>
  <c r="G4" i="5"/>
  <c r="H47" i="5"/>
  <c r="H26" i="5"/>
  <c r="G15" i="5"/>
  <c r="P35" i="6"/>
  <c r="Q35" i="6" s="1"/>
  <c r="R35" i="6" s="1"/>
  <c r="S35" i="6" s="1"/>
  <c r="T35" i="6" s="1"/>
  <c r="F3" i="5"/>
  <c r="J52" i="5"/>
  <c r="I9" i="5"/>
  <c r="P20" i="5"/>
  <c r="P33" i="6"/>
  <c r="Q33" i="6" s="1"/>
  <c r="R33" i="6" s="1"/>
  <c r="S33" i="6" s="1"/>
  <c r="T33" i="6" s="1"/>
  <c r="G49" i="5"/>
  <c r="F6" i="5"/>
  <c r="G5" i="5"/>
  <c r="H48" i="5"/>
  <c r="G36" i="5"/>
  <c r="H7" i="5"/>
  <c r="I26" i="5"/>
  <c r="H36" i="5"/>
  <c r="F10" i="5"/>
  <c r="G53" i="5"/>
  <c r="P21" i="5"/>
  <c r="P28" i="2"/>
  <c r="G15" i="2"/>
  <c r="G14" i="2"/>
  <c r="F14" i="2"/>
  <c r="G6" i="2"/>
  <c r="G7" i="2"/>
  <c r="P34" i="3"/>
  <c r="Q34" i="3" s="1"/>
  <c r="R34" i="3" s="1"/>
  <c r="S34" i="3" s="1"/>
  <c r="T34" i="3" s="1"/>
  <c r="G64" i="2"/>
  <c r="F5" i="2"/>
  <c r="P26" i="3"/>
  <c r="Q26" i="3" s="1"/>
  <c r="R26" i="3" s="1"/>
  <c r="S26" i="3" s="1"/>
  <c r="T26" i="3" s="1"/>
  <c r="P32" i="3"/>
  <c r="Q32" i="3" s="1"/>
  <c r="R32" i="3" s="1"/>
  <c r="S32" i="3" s="1"/>
  <c r="T32" i="3" s="1"/>
  <c r="F24" i="2"/>
  <c r="G54" i="2"/>
  <c r="G55" i="2"/>
  <c r="F25" i="2"/>
  <c r="P35" i="3"/>
  <c r="Q35" i="3" s="1"/>
  <c r="R35" i="3" s="1"/>
  <c r="S35" i="3" s="1"/>
  <c r="T35" i="3" s="1"/>
  <c r="H15" i="2"/>
  <c r="I74" i="2"/>
  <c r="P25" i="3"/>
  <c r="Q25" i="3" s="1"/>
  <c r="R25" i="3" s="1"/>
  <c r="S25" i="3" s="1"/>
  <c r="T25" i="3" s="1"/>
  <c r="P27" i="3"/>
  <c r="Q27" i="3" s="1"/>
  <c r="R27" i="3" s="1"/>
  <c r="S27" i="3" s="1"/>
  <c r="T27" i="3" s="1"/>
  <c r="H14" i="2"/>
  <c r="I45" i="2"/>
  <c r="E27" i="2"/>
  <c r="F27" i="2" s="1"/>
  <c r="G27" i="2" s="1"/>
  <c r="H27" i="2" s="1"/>
  <c r="I27" i="2" s="1"/>
  <c r="J27" i="2" s="1"/>
  <c r="K27" i="2" s="1"/>
  <c r="L27" i="2" s="1"/>
  <c r="M27" i="2" s="1"/>
  <c r="N27" i="2" s="1"/>
  <c r="O27" i="2" s="1"/>
  <c r="D22" i="2"/>
  <c r="I66" i="2"/>
  <c r="H7" i="2"/>
  <c r="L38" i="2"/>
  <c r="P13" i="3"/>
  <c r="Q13" i="3" s="1"/>
  <c r="F52" i="2"/>
  <c r="H71" i="2"/>
  <c r="G12" i="2"/>
  <c r="H6" i="2"/>
  <c r="I37" i="2"/>
  <c r="H34" i="2"/>
  <c r="I53" i="2"/>
  <c r="G72" i="2"/>
  <c r="F13" i="2"/>
  <c r="F23" i="2"/>
  <c r="F4" i="2"/>
  <c r="G63" i="2"/>
  <c r="P56" i="2"/>
  <c r="P33" i="3"/>
  <c r="Q33" i="3" s="1"/>
  <c r="R33" i="3" s="1"/>
  <c r="S33" i="3" s="1"/>
  <c r="T33" i="3" s="1"/>
  <c r="P29" i="2"/>
  <c r="F3" i="2" l="1"/>
  <c r="D23" i="5"/>
  <c r="P34" i="6"/>
  <c r="Q34" i="6" s="1"/>
  <c r="R34" i="6" s="1"/>
  <c r="S34" i="6" s="1"/>
  <c r="T34" i="6" s="1"/>
  <c r="P13" i="6"/>
  <c r="Q13" i="6" s="1"/>
  <c r="R13" i="6" s="1"/>
  <c r="K16" i="5"/>
  <c r="F6" i="6"/>
  <c r="K54" i="5"/>
  <c r="J11" i="5"/>
  <c r="I36" i="5"/>
  <c r="K52" i="5"/>
  <c r="J9" i="5"/>
  <c r="H5" i="5"/>
  <c r="I48" i="5"/>
  <c r="I47" i="5"/>
  <c r="H4" i="5"/>
  <c r="G59" i="5"/>
  <c r="F17" i="5"/>
  <c r="H53" i="5"/>
  <c r="G10" i="5"/>
  <c r="H49" i="5"/>
  <c r="G6" i="5"/>
  <c r="G3" i="5"/>
  <c r="J51" i="5"/>
  <c r="I8" i="5"/>
  <c r="H15" i="5"/>
  <c r="I7" i="5"/>
  <c r="E7" i="6"/>
  <c r="E23" i="5"/>
  <c r="H64" i="2"/>
  <c r="G5" i="2"/>
  <c r="G24" i="2"/>
  <c r="H54" i="2"/>
  <c r="E22" i="2"/>
  <c r="E31" i="2" s="1"/>
  <c r="R13" i="3"/>
  <c r="G25" i="2"/>
  <c r="H55" i="2"/>
  <c r="G52" i="2"/>
  <c r="H72" i="2"/>
  <c r="G13" i="2"/>
  <c r="I71" i="2"/>
  <c r="H12" i="2"/>
  <c r="J66" i="2"/>
  <c r="I7" i="2"/>
  <c r="P27" i="2"/>
  <c r="M38" i="2"/>
  <c r="J53" i="2"/>
  <c r="J37" i="2"/>
  <c r="I34" i="2"/>
  <c r="I6" i="2"/>
  <c r="F22" i="2"/>
  <c r="F7" i="3" s="1"/>
  <c r="G23" i="2"/>
  <c r="I14" i="2"/>
  <c r="J45" i="2"/>
  <c r="I15" i="2"/>
  <c r="J74" i="2"/>
  <c r="G4" i="2"/>
  <c r="H63" i="2"/>
  <c r="D7" i="3"/>
  <c r="D31" i="2"/>
  <c r="G3" i="2" l="1"/>
  <c r="G6" i="3" s="1"/>
  <c r="F14" i="5"/>
  <c r="J7" i="5"/>
  <c r="I5" i="5"/>
  <c r="J48" i="5"/>
  <c r="K11" i="5"/>
  <c r="L54" i="5"/>
  <c r="I49" i="5"/>
  <c r="H6" i="5"/>
  <c r="S13" i="6"/>
  <c r="H59" i="5"/>
  <c r="G17" i="5"/>
  <c r="G14" i="5" s="1"/>
  <c r="G7" i="6" s="1"/>
  <c r="I15" i="5"/>
  <c r="H3" i="5"/>
  <c r="L52" i="5"/>
  <c r="K9" i="5"/>
  <c r="J47" i="5"/>
  <c r="I4" i="5"/>
  <c r="E9" i="6"/>
  <c r="J26" i="5"/>
  <c r="J36" i="5"/>
  <c r="J8" i="5"/>
  <c r="K51" i="5"/>
  <c r="G6" i="6"/>
  <c r="I53" i="5"/>
  <c r="H10" i="5"/>
  <c r="L16" i="5"/>
  <c r="E7" i="3"/>
  <c r="E9" i="3" s="1"/>
  <c r="I64" i="2"/>
  <c r="H5" i="2"/>
  <c r="I54" i="2"/>
  <c r="H24" i="2"/>
  <c r="S13" i="3"/>
  <c r="K74" i="2"/>
  <c r="J15" i="2"/>
  <c r="K53" i="2"/>
  <c r="I12" i="2"/>
  <c r="J71" i="2"/>
  <c r="I63" i="2"/>
  <c r="H4" i="2"/>
  <c r="J14" i="2"/>
  <c r="K45" i="2"/>
  <c r="J34" i="2"/>
  <c r="K37" i="2"/>
  <c r="J6" i="2"/>
  <c r="I72" i="2"/>
  <c r="H13" i="2"/>
  <c r="H23" i="2"/>
  <c r="G22" i="2"/>
  <c r="G7" i="3" s="1"/>
  <c r="F6" i="3"/>
  <c r="F31" i="2"/>
  <c r="D9" i="3"/>
  <c r="N38" i="2"/>
  <c r="K66" i="2"/>
  <c r="J7" i="2"/>
  <c r="H25" i="2"/>
  <c r="I55" i="2"/>
  <c r="H52" i="2"/>
  <c r="H3" i="2" l="1"/>
  <c r="H6" i="3" s="1"/>
  <c r="G23" i="5"/>
  <c r="G9" i="6"/>
  <c r="I3" i="5"/>
  <c r="I6" i="6" s="1"/>
  <c r="K7" i="5"/>
  <c r="K8" i="5"/>
  <c r="L51" i="5"/>
  <c r="J53" i="5"/>
  <c r="I10" i="5"/>
  <c r="K47" i="5"/>
  <c r="J4" i="5"/>
  <c r="J49" i="5"/>
  <c r="I6" i="5"/>
  <c r="J15" i="5"/>
  <c r="L11" i="5"/>
  <c r="M54" i="5"/>
  <c r="F7" i="6"/>
  <c r="F23" i="5"/>
  <c r="K36" i="5"/>
  <c r="I59" i="5"/>
  <c r="H17" i="5"/>
  <c r="H14" i="5" s="1"/>
  <c r="H7" i="6" s="1"/>
  <c r="J5" i="5"/>
  <c r="K48" i="5"/>
  <c r="M16" i="5"/>
  <c r="K26" i="5"/>
  <c r="M52" i="5"/>
  <c r="L9" i="5"/>
  <c r="H6" i="6"/>
  <c r="T13" i="6"/>
  <c r="I5" i="2"/>
  <c r="J64" i="2"/>
  <c r="J54" i="2"/>
  <c r="I24" i="2"/>
  <c r="L66" i="2"/>
  <c r="K7" i="2"/>
  <c r="I23" i="2"/>
  <c r="H22" i="2"/>
  <c r="H7" i="3" s="1"/>
  <c r="I25" i="2"/>
  <c r="J55" i="2"/>
  <c r="I52" i="2"/>
  <c r="K71" i="2"/>
  <c r="J12" i="2"/>
  <c r="K34" i="2"/>
  <c r="L37" i="2"/>
  <c r="K6" i="2"/>
  <c r="G9" i="3"/>
  <c r="G31" i="2"/>
  <c r="K14" i="2"/>
  <c r="L45" i="2"/>
  <c r="F9" i="3"/>
  <c r="K15" i="2"/>
  <c r="L74" i="2"/>
  <c r="T13" i="3"/>
  <c r="O38" i="2"/>
  <c r="P38" i="2" s="1"/>
  <c r="I13" i="2"/>
  <c r="J72" i="2"/>
  <c r="L53" i="2"/>
  <c r="J63" i="2"/>
  <c r="I4" i="2"/>
  <c r="I3" i="2" l="1"/>
  <c r="L48" i="5"/>
  <c r="K5" i="5"/>
  <c r="K53" i="5"/>
  <c r="J10" i="5"/>
  <c r="F9" i="6"/>
  <c r="N52" i="5"/>
  <c r="M9" i="5"/>
  <c r="N54" i="5"/>
  <c r="M11" i="5"/>
  <c r="J59" i="5"/>
  <c r="I17" i="5"/>
  <c r="I14" i="5" s="1"/>
  <c r="M51" i="5"/>
  <c r="L8" i="5"/>
  <c r="K49" i="5"/>
  <c r="J6" i="5"/>
  <c r="H9" i="6"/>
  <c r="N16" i="5"/>
  <c r="K15" i="5"/>
  <c r="K4" i="5"/>
  <c r="L47" i="5"/>
  <c r="L7" i="5"/>
  <c r="L36" i="5"/>
  <c r="H23" i="5"/>
  <c r="J3" i="5"/>
  <c r="L26" i="5"/>
  <c r="H31" i="2"/>
  <c r="K64" i="2"/>
  <c r="J5" i="2"/>
  <c r="J24" i="2"/>
  <c r="K54" i="2"/>
  <c r="L71" i="2"/>
  <c r="K12" i="2"/>
  <c r="I22" i="2"/>
  <c r="I7" i="3" s="1"/>
  <c r="J23" i="2"/>
  <c r="M53" i="2"/>
  <c r="K72" i="2"/>
  <c r="J13" i="2"/>
  <c r="K63" i="2"/>
  <c r="J4" i="2"/>
  <c r="M66" i="2"/>
  <c r="L7" i="2"/>
  <c r="M74" i="2"/>
  <c r="L15" i="2"/>
  <c r="M45" i="2"/>
  <c r="L14" i="2"/>
  <c r="K55" i="2"/>
  <c r="J25" i="2"/>
  <c r="J52" i="2"/>
  <c r="H9" i="3"/>
  <c r="L6" i="2"/>
  <c r="L34" i="2"/>
  <c r="M37" i="2"/>
  <c r="J3" i="2" l="1"/>
  <c r="J6" i="3" s="1"/>
  <c r="M26" i="5"/>
  <c r="L15" i="5"/>
  <c r="L53" i="5"/>
  <c r="K10" i="5"/>
  <c r="N51" i="5"/>
  <c r="M8" i="5"/>
  <c r="I7" i="6"/>
  <c r="I23" i="5"/>
  <c r="L49" i="5"/>
  <c r="K6" i="5"/>
  <c r="M36" i="5"/>
  <c r="O52" i="5"/>
  <c r="O9" i="5" s="1"/>
  <c r="N9" i="5"/>
  <c r="M7" i="5"/>
  <c r="O16" i="5"/>
  <c r="P16" i="5" s="1"/>
  <c r="P38" i="5"/>
  <c r="M48" i="5"/>
  <c r="L5" i="5"/>
  <c r="K59" i="5"/>
  <c r="J17" i="5"/>
  <c r="J14" i="5" s="1"/>
  <c r="J7" i="6" s="1"/>
  <c r="L4" i="5"/>
  <c r="M47" i="5"/>
  <c r="J6" i="6"/>
  <c r="K3" i="5"/>
  <c r="O54" i="5"/>
  <c r="O11" i="5" s="1"/>
  <c r="N11" i="5"/>
  <c r="L64" i="2"/>
  <c r="K5" i="2"/>
  <c r="K24" i="2"/>
  <c r="L54" i="2"/>
  <c r="N66" i="2"/>
  <c r="M7" i="2"/>
  <c r="K25" i="2"/>
  <c r="L55" i="2"/>
  <c r="K52" i="2"/>
  <c r="M71" i="2"/>
  <c r="L12" i="2"/>
  <c r="N37" i="2"/>
  <c r="M34" i="2"/>
  <c r="M6" i="2"/>
  <c r="L63" i="2"/>
  <c r="K4" i="2"/>
  <c r="N53" i="2"/>
  <c r="N45" i="2"/>
  <c r="M14" i="2"/>
  <c r="K13" i="2"/>
  <c r="L72" i="2"/>
  <c r="I6" i="3"/>
  <c r="I31" i="2"/>
  <c r="N74" i="2"/>
  <c r="M15" i="2"/>
  <c r="J22" i="2"/>
  <c r="J7" i="3" s="1"/>
  <c r="K23" i="2"/>
  <c r="K3" i="2" l="1"/>
  <c r="L3" i="5"/>
  <c r="L6" i="6" s="1"/>
  <c r="J23" i="5"/>
  <c r="P11" i="5"/>
  <c r="L59" i="5"/>
  <c r="K17" i="5"/>
  <c r="K14" i="5" s="1"/>
  <c r="K7" i="6" s="1"/>
  <c r="M49" i="5"/>
  <c r="L6" i="5"/>
  <c r="O51" i="5"/>
  <c r="O8" i="5" s="1"/>
  <c r="N8" i="5"/>
  <c r="N7" i="5"/>
  <c r="N47" i="5"/>
  <c r="M4" i="5"/>
  <c r="N36" i="5"/>
  <c r="K6" i="6"/>
  <c r="N48" i="5"/>
  <c r="M5" i="5"/>
  <c r="M53" i="5"/>
  <c r="L10" i="5"/>
  <c r="P29" i="5"/>
  <c r="I9" i="6"/>
  <c r="M15" i="5"/>
  <c r="P39" i="5"/>
  <c r="J9" i="6"/>
  <c r="P9" i="5"/>
  <c r="N26" i="5"/>
  <c r="M64" i="2"/>
  <c r="L5" i="2"/>
  <c r="M54" i="2"/>
  <c r="L24" i="2"/>
  <c r="K22" i="2"/>
  <c r="K7" i="3" s="1"/>
  <c r="L23" i="2"/>
  <c r="J31" i="2"/>
  <c r="N15" i="2"/>
  <c r="O74" i="2"/>
  <c r="O15" i="2" s="1"/>
  <c r="O45" i="2"/>
  <c r="N14" i="2"/>
  <c r="N34" i="2"/>
  <c r="N6" i="2"/>
  <c r="O37" i="2"/>
  <c r="L25" i="2"/>
  <c r="M55" i="2"/>
  <c r="L52" i="2"/>
  <c r="J9" i="3"/>
  <c r="O53" i="2"/>
  <c r="N71" i="2"/>
  <c r="M12" i="2"/>
  <c r="M72" i="2"/>
  <c r="L13" i="2"/>
  <c r="M63" i="2"/>
  <c r="L4" i="2"/>
  <c r="I9" i="3"/>
  <c r="O66" i="2"/>
  <c r="O7" i="2" s="1"/>
  <c r="N7" i="2"/>
  <c r="L3" i="2" l="1"/>
  <c r="L6" i="3" s="1"/>
  <c r="P8" i="5"/>
  <c r="O26" i="5"/>
  <c r="K9" i="6"/>
  <c r="N53" i="5"/>
  <c r="M10" i="5"/>
  <c r="O48" i="5"/>
  <c r="O5" i="5" s="1"/>
  <c r="N5" i="5"/>
  <c r="M3" i="5"/>
  <c r="N49" i="5"/>
  <c r="M6" i="5"/>
  <c r="N15" i="5"/>
  <c r="N4" i="5"/>
  <c r="O47" i="5"/>
  <c r="O4" i="5" s="1"/>
  <c r="K23" i="5"/>
  <c r="O7" i="5"/>
  <c r="P7" i="5" s="1"/>
  <c r="P30" i="5"/>
  <c r="M59" i="5"/>
  <c r="L17" i="5"/>
  <c r="L14" i="5" s="1"/>
  <c r="O36" i="5"/>
  <c r="P37" i="5"/>
  <c r="P36" i="5" s="1"/>
  <c r="P33" i="5"/>
  <c r="N64" i="2"/>
  <c r="M5" i="2"/>
  <c r="P15" i="2"/>
  <c r="P7" i="2"/>
  <c r="N54" i="2"/>
  <c r="M24" i="2"/>
  <c r="P53" i="2"/>
  <c r="N63" i="2"/>
  <c r="M4" i="2"/>
  <c r="N55" i="2"/>
  <c r="M25" i="2"/>
  <c r="M52" i="2"/>
  <c r="N72" i="2"/>
  <c r="M13" i="2"/>
  <c r="O6" i="2"/>
  <c r="P6" i="2" s="1"/>
  <c r="O34" i="2"/>
  <c r="P37" i="2"/>
  <c r="L22" i="2"/>
  <c r="L7" i="3" s="1"/>
  <c r="M23" i="2"/>
  <c r="O14" i="2"/>
  <c r="P14" i="2" s="1"/>
  <c r="P45" i="2"/>
  <c r="K6" i="3"/>
  <c r="K31" i="2"/>
  <c r="O71" i="2"/>
  <c r="O12" i="2" s="1"/>
  <c r="N12" i="2"/>
  <c r="M3" i="2" l="1"/>
  <c r="M6" i="3" s="1"/>
  <c r="P26" i="5"/>
  <c r="P5" i="5"/>
  <c r="N3" i="5"/>
  <c r="N6" i="6" s="1"/>
  <c r="O49" i="5"/>
  <c r="O6" i="5" s="1"/>
  <c r="N6" i="5"/>
  <c r="O3" i="5"/>
  <c r="P4" i="5"/>
  <c r="M6" i="6"/>
  <c r="L7" i="6"/>
  <c r="L9" i="6" s="1"/>
  <c r="L23" i="5"/>
  <c r="N59" i="5"/>
  <c r="M17" i="5"/>
  <c r="M14" i="5" s="1"/>
  <c r="M7" i="6" s="1"/>
  <c r="O15" i="5"/>
  <c r="O53" i="5"/>
  <c r="O10" i="5" s="1"/>
  <c r="N10" i="5"/>
  <c r="L31" i="2"/>
  <c r="L9" i="3"/>
  <c r="O64" i="2"/>
  <c r="O5" i="2" s="1"/>
  <c r="N5" i="2"/>
  <c r="N24" i="2"/>
  <c r="O54" i="2"/>
  <c r="P34" i="2"/>
  <c r="P12" i="2"/>
  <c r="N25" i="2"/>
  <c r="O55" i="2"/>
  <c r="N52" i="2"/>
  <c r="K9" i="3"/>
  <c r="N4" i="2"/>
  <c r="O63" i="2"/>
  <c r="O4" i="2" s="1"/>
  <c r="O72" i="2"/>
  <c r="O13" i="2" s="1"/>
  <c r="N13" i="2"/>
  <c r="N23" i="2"/>
  <c r="M22" i="2"/>
  <c r="M7" i="3" s="1"/>
  <c r="N3" i="2" l="1"/>
  <c r="N6" i="3" s="1"/>
  <c r="O3" i="2"/>
  <c r="P3" i="5"/>
  <c r="P6" i="5"/>
  <c r="P15" i="5"/>
  <c r="M9" i="6"/>
  <c r="M23" i="5"/>
  <c r="P10" i="5"/>
  <c r="O59" i="5"/>
  <c r="O17" i="5" s="1"/>
  <c r="N17" i="5"/>
  <c r="N14" i="5" s="1"/>
  <c r="O6" i="6"/>
  <c r="P5" i="2"/>
  <c r="P13" i="2"/>
  <c r="O24" i="2"/>
  <c r="P24" i="2" s="1"/>
  <c r="P54" i="2"/>
  <c r="P4" i="2"/>
  <c r="O25" i="2"/>
  <c r="P25" i="2" s="1"/>
  <c r="O90" i="2" s="1"/>
  <c r="O91" i="2" s="1"/>
  <c r="P55" i="2"/>
  <c r="O52" i="2"/>
  <c r="N22" i="2"/>
  <c r="N7" i="3" s="1"/>
  <c r="O23" i="2"/>
  <c r="M9" i="3"/>
  <c r="M31" i="2"/>
  <c r="P3" i="2" l="1"/>
  <c r="N7" i="6"/>
  <c r="N9" i="6" s="1"/>
  <c r="N23" i="5"/>
  <c r="P17" i="5"/>
  <c r="O65" i="5" s="1"/>
  <c r="O66" i="5" s="1"/>
  <c r="P6" i="6"/>
  <c r="O14" i="5"/>
  <c r="P52" i="2"/>
  <c r="N9" i="3"/>
  <c r="O6" i="3"/>
  <c r="O22" i="2"/>
  <c r="O7" i="3" s="1"/>
  <c r="P7" i="3" s="1"/>
  <c r="Q7" i="3" s="1"/>
  <c r="R7" i="3" s="1"/>
  <c r="S7" i="3" s="1"/>
  <c r="T7" i="3" s="1"/>
  <c r="P23" i="2"/>
  <c r="P22" i="2" s="1"/>
  <c r="N31" i="2"/>
  <c r="P14" i="5" l="1"/>
  <c r="Q6" i="6"/>
  <c r="O7" i="6"/>
  <c r="O23" i="5"/>
  <c r="P31" i="2"/>
  <c r="D103" i="2" s="1"/>
  <c r="D23" i="3" s="1"/>
  <c r="O9" i="3"/>
  <c r="P6" i="3"/>
  <c r="O31" i="2"/>
  <c r="P23" i="5" l="1"/>
  <c r="D78" i="5" s="1"/>
  <c r="P7" i="6"/>
  <c r="O9" i="6"/>
  <c r="R6" i="6"/>
  <c r="D96" i="2"/>
  <c r="I96" i="2" s="1"/>
  <c r="D111" i="2"/>
  <c r="D31" i="3" s="1"/>
  <c r="E31" i="3" s="1"/>
  <c r="F31" i="3" s="1"/>
  <c r="G31" i="3" s="1"/>
  <c r="H31" i="3" s="1"/>
  <c r="I31" i="3" s="1"/>
  <c r="J31" i="3" s="1"/>
  <c r="K31" i="3" s="1"/>
  <c r="L31" i="3" s="1"/>
  <c r="M31" i="3" s="1"/>
  <c r="N31" i="3" s="1"/>
  <c r="O31" i="3" s="1"/>
  <c r="D104" i="2"/>
  <c r="D24" i="3" s="1"/>
  <c r="E24" i="3" s="1"/>
  <c r="F24" i="3" s="1"/>
  <c r="G24" i="3" s="1"/>
  <c r="H24" i="3" s="1"/>
  <c r="I24" i="3" s="1"/>
  <c r="J24" i="3" s="1"/>
  <c r="K24" i="3" s="1"/>
  <c r="L24" i="3" s="1"/>
  <c r="M24" i="3" s="1"/>
  <c r="N24" i="3" s="1"/>
  <c r="O24" i="3" s="1"/>
  <c r="D98" i="2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D99" i="2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D102" i="2"/>
  <c r="D22" i="3" s="1"/>
  <c r="E22" i="3" s="1"/>
  <c r="D108" i="2"/>
  <c r="D28" i="3" s="1"/>
  <c r="E28" i="3" s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9" i="3"/>
  <c r="Q6" i="3"/>
  <c r="E23" i="3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D74" i="5" l="1"/>
  <c r="D15" i="6" s="1"/>
  <c r="E15" i="6" s="1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D73" i="5"/>
  <c r="D71" i="5"/>
  <c r="D12" i="6" s="1"/>
  <c r="E12" i="6" s="1"/>
  <c r="D77" i="5"/>
  <c r="D83" i="5"/>
  <c r="D86" i="5"/>
  <c r="D92" i="5"/>
  <c r="D79" i="5"/>
  <c r="Q7" i="6"/>
  <c r="P9" i="6"/>
  <c r="S6" i="6"/>
  <c r="D12" i="3"/>
  <c r="D17" i="3" s="1"/>
  <c r="D19" i="3" s="1"/>
  <c r="P24" i="3"/>
  <c r="Q24" i="3" s="1"/>
  <c r="R24" i="3" s="1"/>
  <c r="S24" i="3" s="1"/>
  <c r="T24" i="3" s="1"/>
  <c r="P31" i="3"/>
  <c r="Q31" i="3" s="1"/>
  <c r="R31" i="3" s="1"/>
  <c r="S31" i="3" s="1"/>
  <c r="T31" i="3" s="1"/>
  <c r="P15" i="3"/>
  <c r="P23" i="3"/>
  <c r="Q23" i="3" s="1"/>
  <c r="R23" i="3" s="1"/>
  <c r="S23" i="3" s="1"/>
  <c r="T23" i="3" s="1"/>
  <c r="P28" i="3"/>
  <c r="Q28" i="3" s="1"/>
  <c r="R28" i="3" s="1"/>
  <c r="S28" i="3" s="1"/>
  <c r="T28" i="3" s="1"/>
  <c r="R6" i="3"/>
  <c r="Q9" i="3"/>
  <c r="F22" i="3"/>
  <c r="P14" i="3"/>
  <c r="Q14" i="3" s="1"/>
  <c r="D14" i="6" l="1"/>
  <c r="E14" i="6" s="1"/>
  <c r="I71" i="5"/>
  <c r="D23" i="6"/>
  <c r="L23" i="6"/>
  <c r="E23" i="6"/>
  <c r="M23" i="6"/>
  <c r="F23" i="6"/>
  <c r="N23" i="6"/>
  <c r="G23" i="6"/>
  <c r="O23" i="6"/>
  <c r="K23" i="6"/>
  <c r="H23" i="6"/>
  <c r="I23" i="6"/>
  <c r="J23" i="6"/>
  <c r="D31" i="6"/>
  <c r="L31" i="6"/>
  <c r="E31" i="6"/>
  <c r="M31" i="6"/>
  <c r="F31" i="6"/>
  <c r="N31" i="6"/>
  <c r="G31" i="6"/>
  <c r="O31" i="6"/>
  <c r="K31" i="6"/>
  <c r="H31" i="6"/>
  <c r="I31" i="6"/>
  <c r="J31" i="6"/>
  <c r="H24" i="6"/>
  <c r="I24" i="6"/>
  <c r="J24" i="6"/>
  <c r="K24" i="6"/>
  <c r="G24" i="6"/>
  <c r="O24" i="6"/>
  <c r="D24" i="6"/>
  <c r="L24" i="6"/>
  <c r="E24" i="6"/>
  <c r="M24" i="6"/>
  <c r="F24" i="6"/>
  <c r="N24" i="6"/>
  <c r="H28" i="6"/>
  <c r="I28" i="6"/>
  <c r="J28" i="6"/>
  <c r="K28" i="6"/>
  <c r="G28" i="6"/>
  <c r="O28" i="6"/>
  <c r="D28" i="6"/>
  <c r="L28" i="6"/>
  <c r="E28" i="6"/>
  <c r="M28" i="6"/>
  <c r="F28" i="6"/>
  <c r="N28" i="6"/>
  <c r="E22" i="6"/>
  <c r="M22" i="6"/>
  <c r="F22" i="6"/>
  <c r="N22" i="6"/>
  <c r="G22" i="6"/>
  <c r="O22" i="6"/>
  <c r="L22" i="6"/>
  <c r="H22" i="6"/>
  <c r="I22" i="6"/>
  <c r="J22" i="6"/>
  <c r="K22" i="6"/>
  <c r="D22" i="6"/>
  <c r="P37" i="6"/>
  <c r="Q37" i="6" s="1"/>
  <c r="R37" i="6" s="1"/>
  <c r="S37" i="6" s="1"/>
  <c r="T37" i="6" s="1"/>
  <c r="F12" i="6"/>
  <c r="T6" i="6"/>
  <c r="R7" i="6"/>
  <c r="Q9" i="6"/>
  <c r="E12" i="3"/>
  <c r="F12" i="3" s="1"/>
  <c r="R9" i="3"/>
  <c r="S6" i="3"/>
  <c r="R14" i="3"/>
  <c r="Q17" i="3"/>
  <c r="Q19" i="3" s="1"/>
  <c r="G22" i="3"/>
  <c r="D17" i="6" l="1"/>
  <c r="D19" i="6" s="1"/>
  <c r="F14" i="6"/>
  <c r="G14" i="6" s="1"/>
  <c r="H14" i="6" s="1"/>
  <c r="I14" i="6" s="1"/>
  <c r="J14" i="6" s="1"/>
  <c r="K14" i="6" s="1"/>
  <c r="L14" i="6" s="1"/>
  <c r="M14" i="6" s="1"/>
  <c r="N14" i="6" s="1"/>
  <c r="O14" i="6" s="1"/>
  <c r="E17" i="6"/>
  <c r="E19" i="6" s="1"/>
  <c r="P24" i="6"/>
  <c r="Q24" i="6" s="1"/>
  <c r="R24" i="6" s="1"/>
  <c r="S24" i="6" s="1"/>
  <c r="T24" i="6" s="1"/>
  <c r="P31" i="6"/>
  <c r="Q31" i="6" s="1"/>
  <c r="R31" i="6" s="1"/>
  <c r="S31" i="6" s="1"/>
  <c r="T31" i="6" s="1"/>
  <c r="P23" i="6"/>
  <c r="Q23" i="6" s="1"/>
  <c r="R23" i="6" s="1"/>
  <c r="S23" i="6" s="1"/>
  <c r="T23" i="6" s="1"/>
  <c r="P28" i="6"/>
  <c r="Q28" i="6" s="1"/>
  <c r="R28" i="6" s="1"/>
  <c r="S28" i="6" s="1"/>
  <c r="T28" i="6" s="1"/>
  <c r="E39" i="6"/>
  <c r="D39" i="6"/>
  <c r="S7" i="6"/>
  <c r="R9" i="6"/>
  <c r="G12" i="6"/>
  <c r="E17" i="3"/>
  <c r="E19" i="3" s="1"/>
  <c r="G12" i="3"/>
  <c r="F17" i="3"/>
  <c r="F19" i="3" s="1"/>
  <c r="T6" i="3"/>
  <c r="T9" i="3" s="1"/>
  <c r="S9" i="3"/>
  <c r="S14" i="3"/>
  <c r="R17" i="3"/>
  <c r="R19" i="3" s="1"/>
  <c r="H22" i="3"/>
  <c r="D41" i="6" l="1"/>
  <c r="D45" i="6" s="1"/>
  <c r="D47" i="6" s="1"/>
  <c r="D51" i="6" s="1"/>
  <c r="E41" i="6"/>
  <c r="E45" i="6" s="1"/>
  <c r="P14" i="6"/>
  <c r="Q14" i="6" s="1"/>
  <c r="Q17" i="6" s="1"/>
  <c r="Q19" i="6" s="1"/>
  <c r="F17" i="6"/>
  <c r="F19" i="6" s="1"/>
  <c r="F39" i="6"/>
  <c r="T7" i="6"/>
  <c r="T9" i="6" s="1"/>
  <c r="S9" i="6"/>
  <c r="G17" i="6"/>
  <c r="G19" i="6" s="1"/>
  <c r="H12" i="6"/>
  <c r="T14" i="3"/>
  <c r="T17" i="3" s="1"/>
  <c r="T19" i="3" s="1"/>
  <c r="S17" i="3"/>
  <c r="S19" i="3" s="1"/>
  <c r="I22" i="3"/>
  <c r="G17" i="3"/>
  <c r="G19" i="3" s="1"/>
  <c r="H12" i="3"/>
  <c r="E47" i="6" l="1"/>
  <c r="E51" i="6" s="1"/>
  <c r="F41" i="6"/>
  <c r="F45" i="6" s="1"/>
  <c r="R14" i="6"/>
  <c r="G39" i="6"/>
  <c r="G41" i="6" s="1"/>
  <c r="G45" i="6" s="1"/>
  <c r="H17" i="6"/>
  <c r="H19" i="6" s="1"/>
  <c r="I12" i="6"/>
  <c r="J22" i="3"/>
  <c r="H17" i="3"/>
  <c r="H19" i="3" s="1"/>
  <c r="I12" i="3"/>
  <c r="F47" i="6" l="1"/>
  <c r="F51" i="6" s="1"/>
  <c r="S14" i="6"/>
  <c r="R17" i="6"/>
  <c r="R19" i="6" s="1"/>
  <c r="H39" i="6"/>
  <c r="H41" i="6" s="1"/>
  <c r="H45" i="6" s="1"/>
  <c r="J12" i="6"/>
  <c r="I17" i="6"/>
  <c r="I19" i="6" s="1"/>
  <c r="J12" i="3"/>
  <c r="I17" i="3"/>
  <c r="I19" i="3" s="1"/>
  <c r="K22" i="3"/>
  <c r="G47" i="6" l="1"/>
  <c r="G51" i="6" s="1"/>
  <c r="S17" i="6"/>
  <c r="S19" i="6" s="1"/>
  <c r="T14" i="6"/>
  <c r="T17" i="6" s="1"/>
  <c r="T19" i="6" s="1"/>
  <c r="I39" i="6"/>
  <c r="I41" i="6" s="1"/>
  <c r="I45" i="6" s="1"/>
  <c r="J17" i="6"/>
  <c r="J19" i="6" s="1"/>
  <c r="K12" i="6"/>
  <c r="L22" i="3"/>
  <c r="K12" i="3"/>
  <c r="J17" i="3"/>
  <c r="J19" i="3" s="1"/>
  <c r="H47" i="6" l="1"/>
  <c r="H51" i="6" s="1"/>
  <c r="J39" i="6"/>
  <c r="J41" i="6" s="1"/>
  <c r="J45" i="6" s="1"/>
  <c r="L12" i="6"/>
  <c r="K17" i="6"/>
  <c r="K19" i="6" s="1"/>
  <c r="L12" i="3"/>
  <c r="K17" i="3"/>
  <c r="K19" i="3" s="1"/>
  <c r="M22" i="3"/>
  <c r="I47" i="6" l="1"/>
  <c r="I51" i="6" s="1"/>
  <c r="K39" i="6"/>
  <c r="K41" i="6" s="1"/>
  <c r="K45" i="6" s="1"/>
  <c r="M12" i="6"/>
  <c r="L17" i="6"/>
  <c r="L19" i="6" s="1"/>
  <c r="N22" i="3"/>
  <c r="L17" i="3"/>
  <c r="L19" i="3" s="1"/>
  <c r="M12" i="3"/>
  <c r="J47" i="6" l="1"/>
  <c r="J51" i="6" s="1"/>
  <c r="L39" i="6"/>
  <c r="L41" i="6" s="1"/>
  <c r="L45" i="6" s="1"/>
  <c r="N12" i="6"/>
  <c r="M17" i="6"/>
  <c r="M19" i="6" s="1"/>
  <c r="N12" i="3"/>
  <c r="M17" i="3"/>
  <c r="M19" i="3" s="1"/>
  <c r="O22" i="3"/>
  <c r="K47" i="6" l="1"/>
  <c r="K51" i="6" s="1"/>
  <c r="M39" i="6"/>
  <c r="M41" i="6" s="1"/>
  <c r="M45" i="6" s="1"/>
  <c r="O12" i="6"/>
  <c r="N17" i="6"/>
  <c r="N19" i="6" s="1"/>
  <c r="P22" i="3"/>
  <c r="O12" i="3"/>
  <c r="N17" i="3"/>
  <c r="N19" i="3" s="1"/>
  <c r="L47" i="6" l="1"/>
  <c r="L51" i="6" s="1"/>
  <c r="N39" i="6"/>
  <c r="N41" i="6" s="1"/>
  <c r="N45" i="6" s="1"/>
  <c r="O17" i="6"/>
  <c r="O19" i="6" s="1"/>
  <c r="P12" i="6"/>
  <c r="P17" i="6" s="1"/>
  <c r="O17" i="3"/>
  <c r="O19" i="3" s="1"/>
  <c r="P12" i="3"/>
  <c r="P17" i="3" s="1"/>
  <c r="Q22" i="3"/>
  <c r="P19" i="3" l="1"/>
  <c r="P19" i="6"/>
  <c r="M47" i="6"/>
  <c r="M51" i="6" s="1"/>
  <c r="P22" i="6"/>
  <c r="O39" i="6"/>
  <c r="O41" i="6" s="1"/>
  <c r="O45" i="6" s="1"/>
  <c r="R22" i="3"/>
  <c r="N47" i="6" l="1"/>
  <c r="N51" i="6" s="1"/>
  <c r="Q22" i="6"/>
  <c r="P39" i="6"/>
  <c r="S22" i="3"/>
  <c r="P41" i="6" l="1"/>
  <c r="P45" i="6" s="1"/>
  <c r="P47" i="6" s="1"/>
  <c r="P51" i="6" s="1"/>
  <c r="P53" i="6" s="1"/>
  <c r="O47" i="6"/>
  <c r="O51" i="6" s="1"/>
  <c r="R22" i="6"/>
  <c r="Q39" i="6"/>
  <c r="Q41" i="6" s="1"/>
  <c r="T22" i="3"/>
  <c r="Q45" i="6" l="1"/>
  <c r="Q47" i="6"/>
  <c r="S22" i="6"/>
  <c r="R39" i="6"/>
  <c r="R41" i="6" s="1"/>
  <c r="R45" i="6" s="1"/>
  <c r="T22" i="6" l="1"/>
  <c r="T39" i="6" s="1"/>
  <c r="T41" i="6" s="1"/>
  <c r="T45" i="6" s="1"/>
  <c r="S39" i="6"/>
  <c r="S41" i="6" s="1"/>
  <c r="S45" i="6" s="1"/>
  <c r="Q51" i="6"/>
  <c r="Q53" i="6" s="1"/>
  <c r="R47" i="6"/>
  <c r="R51" i="6" l="1"/>
  <c r="R53" i="6" s="1"/>
  <c r="S47" i="6"/>
  <c r="T47" i="6" l="1"/>
  <c r="T51" i="6" s="1"/>
  <c r="T53" i="6" s="1"/>
  <c r="S51" i="6"/>
  <c r="S53" i="6" s="1"/>
  <c r="N5" i="1"/>
  <c r="N11" i="1" l="1"/>
  <c r="H3" i="1" l="1"/>
  <c r="H5" i="1" l="1"/>
  <c r="H6" i="1" s="1"/>
  <c r="H11" i="1" l="1"/>
  <c r="H12" i="1" s="1"/>
  <c r="H8" i="1" l="1"/>
  <c r="H9" i="1" s="1"/>
  <c r="H14" i="1" l="1"/>
  <c r="F3" i="1" l="1"/>
  <c r="F11" i="1" l="1"/>
  <c r="F12" i="1" s="1"/>
  <c r="F5" i="1" l="1"/>
  <c r="F6" i="1" s="1"/>
  <c r="F8" i="1" l="1"/>
  <c r="F9" i="1" s="1"/>
  <c r="F14" i="1" l="1"/>
  <c r="L3" i="1" l="1"/>
  <c r="L5" i="1" l="1"/>
  <c r="L6" i="1" l="1"/>
  <c r="L8" i="1"/>
  <c r="L9" i="1" l="1"/>
  <c r="L11" i="1" l="1"/>
  <c r="L12" i="1" l="1"/>
  <c r="L14" i="1"/>
  <c r="B3" i="1" l="1"/>
  <c r="B5" i="1" l="1"/>
  <c r="B6" i="1" l="1"/>
  <c r="B8" i="1"/>
  <c r="B9" i="1" l="1"/>
  <c r="B11" i="1"/>
  <c r="B12" i="1" s="1"/>
  <c r="B14" i="1" l="1"/>
  <c r="N3" i="1" l="1"/>
  <c r="N6" i="1" l="1"/>
  <c r="N12" i="1"/>
  <c r="N8" i="1"/>
  <c r="N9" i="1" l="1"/>
  <c r="N14" i="1" s="1"/>
  <c r="D3" i="1" l="1"/>
  <c r="D5" i="1" l="1"/>
  <c r="D6" i="1" l="1"/>
  <c r="D8" i="1"/>
  <c r="D11" i="1" l="1"/>
  <c r="D12" i="1" s="1"/>
  <c r="D9" i="1"/>
  <c r="D14" i="1" l="1"/>
  <c r="J3" i="1" l="1"/>
  <c r="J5" i="1"/>
  <c r="J6" i="1" l="1"/>
  <c r="J8" i="1"/>
  <c r="J9" i="1" l="1"/>
  <c r="J11" i="1" l="1"/>
  <c r="J12" i="1" l="1"/>
  <c r="J14" i="1"/>
  <c r="D39" i="3"/>
  <c r="D45" i="3"/>
  <c r="D49" i="3" s="1"/>
  <c r="H39" i="3"/>
  <c r="H43" i="3" s="1"/>
  <c r="O39" i="3"/>
  <c r="O43" i="3"/>
  <c r="I43" i="3"/>
  <c r="I39" i="3"/>
  <c r="J39" i="3"/>
  <c r="J43" i="3" s="1"/>
  <c r="G39" i="3"/>
  <c r="G43" i="3"/>
  <c r="P39" i="3"/>
  <c r="P43" i="3"/>
  <c r="P45" i="3" s="1"/>
  <c r="L43" i="3"/>
  <c r="L39" i="3"/>
  <c r="M43" i="3"/>
  <c r="M39" i="3"/>
  <c r="K39" i="3"/>
  <c r="K43" i="3" s="1"/>
  <c r="F39" i="3"/>
  <c r="F43" i="3" s="1"/>
  <c r="E39" i="3"/>
  <c r="E43" i="3" s="1"/>
  <c r="N39" i="3"/>
  <c r="N43" i="3" s="1"/>
  <c r="E45" i="3" l="1"/>
  <c r="P49" i="3"/>
  <c r="P51" i="3" s="1"/>
  <c r="E49" i="3"/>
  <c r="F45" i="3"/>
  <c r="F49" i="3" l="1"/>
  <c r="G45" i="3"/>
  <c r="G49" i="3" l="1"/>
  <c r="H45" i="3"/>
  <c r="I45" i="3" l="1"/>
  <c r="H49" i="3"/>
  <c r="J45" i="3" l="1"/>
  <c r="I49" i="3"/>
  <c r="K45" i="3" l="1"/>
  <c r="J49" i="3"/>
  <c r="L45" i="3" l="1"/>
  <c r="K49" i="3"/>
  <c r="L49" i="3" l="1"/>
  <c r="M45" i="3"/>
  <c r="M49" i="3" l="1"/>
  <c r="N45" i="3"/>
  <c r="O45" i="3" l="1"/>
  <c r="O49" i="3" s="1"/>
  <c r="N49" i="3"/>
  <c r="R39" i="3" l="1"/>
  <c r="T39" i="3"/>
  <c r="S39" i="3"/>
  <c r="Q39" i="3"/>
  <c r="Q45" i="3" l="1"/>
  <c r="Q49" i="3" l="1"/>
  <c r="Q51" i="3" s="1"/>
  <c r="R45" i="3"/>
  <c r="S45" i="3" l="1"/>
  <c r="R49" i="3"/>
  <c r="R51" i="3" s="1"/>
  <c r="T45" i="3" l="1"/>
  <c r="T49" i="3" s="1"/>
  <c r="T51" i="3" s="1"/>
  <c r="S49" i="3"/>
  <c r="S51" i="3" s="1"/>
</calcChain>
</file>

<file path=xl/sharedStrings.xml><?xml version="1.0" encoding="utf-8"?>
<sst xmlns="http://schemas.openxmlformats.org/spreadsheetml/2006/main" count="428" uniqueCount="126">
  <si>
    <t>Revenue</t>
  </si>
  <si>
    <t>Cost of Sales</t>
  </si>
  <si>
    <t>Operational Expenses</t>
  </si>
  <si>
    <t>Net Profit</t>
  </si>
  <si>
    <t>Medsupply</t>
  </si>
  <si>
    <t>MedAvisory</t>
  </si>
  <si>
    <t>MedFit</t>
  </si>
  <si>
    <t>MedClinic</t>
  </si>
  <si>
    <t>MedAssistance</t>
  </si>
  <si>
    <t>Travel Clinic</t>
  </si>
  <si>
    <t>MedProject</t>
  </si>
  <si>
    <t>Gross Profit</t>
  </si>
  <si>
    <t>Gross Margin (%)</t>
  </si>
  <si>
    <t>COS on Revenue (%)</t>
  </si>
  <si>
    <t>Opex on Revenue (%)</t>
  </si>
  <si>
    <t>₦</t>
  </si>
  <si>
    <t>Live_Case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</si>
  <si>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</si>
  <si>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</si>
  <si>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</si>
  <si>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</si>
  <si>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</si>
  <si>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</si>
  <si>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</si>
  <si>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</si>
  <si>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</si>
  <si>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</si>
  <si>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</si>
  <si>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</si>
  <si>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</si>
  <si>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Medstaffing</t>
  </si>
  <si>
    <t>Onshore Medical Doctor</t>
  </si>
  <si>
    <t>Onshore Nurses</t>
  </si>
  <si>
    <t>Onshore Pharm Technician</t>
  </si>
  <si>
    <t>Onshore Pharmacist</t>
  </si>
  <si>
    <t>Offshore Medical Doctor</t>
  </si>
  <si>
    <t>Offshore Nurses</t>
  </si>
  <si>
    <t>Offshore Pharm Technician</t>
  </si>
  <si>
    <t>Offshore Pharm acist</t>
  </si>
  <si>
    <t>Outsourced Corporate Clinics</t>
  </si>
  <si>
    <t>APM Terminals</t>
  </si>
  <si>
    <t>Clinic Outsourcing</t>
  </si>
  <si>
    <t>Guiness Plc</t>
  </si>
  <si>
    <t>Pipe Coaters Tenaris</t>
  </si>
  <si>
    <t>BATN</t>
  </si>
  <si>
    <t>Quarterly Clinic outsourcing</t>
  </si>
  <si>
    <t>Shell IA</t>
  </si>
  <si>
    <t>Oando</t>
  </si>
  <si>
    <t>Others</t>
  </si>
  <si>
    <t>Total Revenue</t>
  </si>
  <si>
    <t>Average no Staff</t>
  </si>
  <si>
    <t>Offshore Pharmacist</t>
  </si>
  <si>
    <t>Per negotiated contract</t>
  </si>
  <si>
    <t>Pipe Coaters</t>
  </si>
  <si>
    <t>Average case - Price</t>
  </si>
  <si>
    <t>Average price as of Jan - Mar 2025 period</t>
  </si>
  <si>
    <t>Other Inputs</t>
  </si>
  <si>
    <t>FY 1</t>
  </si>
  <si>
    <t>FY 2</t>
  </si>
  <si>
    <t>FY 3</t>
  </si>
  <si>
    <t>FY 4</t>
  </si>
  <si>
    <t>FY 5</t>
  </si>
  <si>
    <t>Comment</t>
  </si>
  <si>
    <t>Price Inflation</t>
  </si>
  <si>
    <t>Cost Inflation</t>
  </si>
  <si>
    <t>Revenue Growth rate</t>
  </si>
  <si>
    <t>Direct Cost - Consumables</t>
  </si>
  <si>
    <t>Direct Cost - Staff</t>
  </si>
  <si>
    <t>Direct Cost - Sales Commission</t>
  </si>
  <si>
    <t>Direct Cost - Overheads &amp; Others</t>
  </si>
  <si>
    <t>Operating Expenses</t>
  </si>
  <si>
    <t>Indirect Staff Cost</t>
  </si>
  <si>
    <t>Indirect staff Cost</t>
  </si>
  <si>
    <t>Repair &amp; Maintenance</t>
  </si>
  <si>
    <t>% of Revenue</t>
  </si>
  <si>
    <t>COO</t>
  </si>
  <si>
    <t xml:space="preserve">pro-rated based on </t>
  </si>
  <si>
    <t>Bank Charges</t>
  </si>
  <si>
    <t>% of Rev</t>
  </si>
  <si>
    <t>Lead Accountant</t>
  </si>
  <si>
    <t>Advert, Printing &amp; Stationery</t>
  </si>
  <si>
    <t>Rent</t>
  </si>
  <si>
    <t>Internet</t>
  </si>
  <si>
    <t>Cleaning Services</t>
  </si>
  <si>
    <t>HR Mgr</t>
  </si>
  <si>
    <t>Fuel - Car Pool</t>
  </si>
  <si>
    <t>Sales Mgr</t>
  </si>
  <si>
    <t>Electricity</t>
  </si>
  <si>
    <t>Sales Team</t>
  </si>
  <si>
    <t>Security</t>
  </si>
  <si>
    <t>Sales Operations</t>
  </si>
  <si>
    <t>Local Govt Levies &amp; Charges</t>
  </si>
  <si>
    <t>Medical Doctors</t>
  </si>
  <si>
    <t>Insurance Expenses</t>
  </si>
  <si>
    <t>Depreciation Expenses</t>
  </si>
  <si>
    <t>Contribution</t>
  </si>
  <si>
    <t>Shell Admin &amp; Staff Cost</t>
  </si>
  <si>
    <t>Oando Admin &amp; Staff Cost</t>
  </si>
  <si>
    <t>Computations-Outputs</t>
  </si>
  <si>
    <t>NGN</t>
  </si>
  <si>
    <t>Cost of Revenue</t>
  </si>
  <si>
    <t>Total Direct Cost</t>
  </si>
  <si>
    <t>Operating expenses</t>
  </si>
  <si>
    <t>Total Opex</t>
  </si>
  <si>
    <t>EBITDA</t>
  </si>
  <si>
    <r>
      <t>Net Profit/</t>
    </r>
    <r>
      <rPr>
        <b/>
        <sz val="12"/>
        <color rgb="FFFF0000"/>
        <rFont val="Aptos Display"/>
        <family val="2"/>
      </rPr>
      <t>(Loss)</t>
    </r>
  </si>
  <si>
    <t>Accumulated EBITDA</t>
  </si>
  <si>
    <t>Total Investment</t>
  </si>
  <si>
    <t>Pay back Balance</t>
  </si>
  <si>
    <t>Pay back Period</t>
  </si>
  <si>
    <t>FFS, Ext Referrals etc</t>
  </si>
  <si>
    <t>Others- Team Berlin</t>
  </si>
  <si>
    <t>APM Terminals -MMS KAMs</t>
  </si>
  <si>
    <t>Guiness Plc- MMS KAMs</t>
  </si>
  <si>
    <t>Pipe Coaters-MMS KAMs</t>
  </si>
  <si>
    <t>BATN- MMS KAMs</t>
  </si>
  <si>
    <t>Shell IA- MMS KAMs</t>
  </si>
  <si>
    <t>Oando- MMS KAMs</t>
  </si>
  <si>
    <t>Onshore Medical Doctor-Team Berlin</t>
  </si>
  <si>
    <t>Onshore Nurses-Team Berlin</t>
  </si>
  <si>
    <t>Onshore Pharm Technician-Team Berlin</t>
  </si>
  <si>
    <t>Onshore Pharmacist-Team Berlin</t>
  </si>
  <si>
    <t>Offshore Medical Doctor-Team Berlin</t>
  </si>
  <si>
    <t>Offshore Nurses-Team Berlin</t>
  </si>
  <si>
    <t>Offshore Pharm Technician-Team Berlin</t>
  </si>
  <si>
    <t>Offshore Pharmacist-Team 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</si>
</sst>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#,##0;[Red]\(#,##0\)"/>
    <numFmt numFmtId="166" formatCode="_(* #,##0_);_(* \(#,##0\);_(* &quot;-&quot;_);@_)"/>
    <numFmt numFmtId="167" formatCode="_-* #,##0_-;\-* #,##0_-;_-* &quot;-&quot;??_-;_-@_-"/>
    <numFmt numFmtId="168" formatCode="0.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i/>
      <sz val="12"/>
      <color theme="1"/>
      <name val="Aptos Display"/>
      <family val="2"/>
      <scheme val="major"/>
    </font>
    <font>
      <sz val="12"/>
      <color theme="1"/>
      <name val="Aptos Narrow"/>
      <family val="2"/>
    </font>
    <font>
      <sz val="12"/>
      <color theme="1"/>
      <name val="Aptos Display"/>
      <family val="2"/>
    </font>
    <font>
      <b/>
      <sz val="12"/>
      <color theme="0"/>
      <name val="Aptos Display"/>
      <family val="2"/>
    </font>
    <font>
      <sz val="12"/>
      <color theme="0"/>
      <name val="Aptos Display"/>
      <family val="2"/>
    </font>
    <font>
      <b/>
      <sz val="12"/>
      <color theme="1"/>
      <name val="Aptos Display"/>
      <family val="2"/>
    </font>
    <font>
      <sz val="12"/>
      <color rgb="FFFF0000"/>
      <name val="Aptos Display"/>
      <family val="2"/>
    </font>
    <font>
      <b/>
      <sz val="12"/>
      <color theme="3"/>
      <name val="Aptos Display"/>
      <family val="2"/>
    </font>
    <font>
      <sz val="11"/>
      <color theme="1"/>
      <name val="Trebuchet MS"/>
      <family val="2"/>
    </font>
    <font>
      <b/>
      <sz val="12"/>
      <color rgb="FFFF0000"/>
      <name val="Aptos Display"/>
      <family val="2"/>
    </font>
    <font>
      <sz val="12"/>
      <color rgb="FF0070C0"/>
      <name val="Aptos Display"/>
      <family val="2"/>
    </font>
    <font>
      <b/>
      <sz val="12"/>
      <color rgb="FF0070C0"/>
      <name val="Aptos Display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164" fontId="1" fillId="0" borderId="0" applyFont="0" applyFill="0" applyBorder="0" applyAlignment="0" applyProtection="0"/>
  </cellStyleXfs>
  <cellXfs count="90">
    <xf numFmtId="0" fontId="0" fillId="0" borderId="0" xfId="0"/>
    <xf numFmtId="0" fontId="5" fillId="0" borderId="0" xfId="0" applyFont="1"/>
    <xf numFmtId="165" fontId="5" fillId="0" borderId="0" xfId="0" applyNumberFormat="1" applyFont="1"/>
    <xf numFmtId="165" fontId="6" fillId="0" borderId="5" xfId="0" applyNumberFormat="1" applyFont="1" applyBorder="1"/>
    <xf numFmtId="9" fontId="5" fillId="0" borderId="0" xfId="2" applyFont="1" applyAlignment="1">
      <alignment horizontal="center"/>
    </xf>
    <xf numFmtId="9" fontId="5" fillId="0" borderId="0" xfId="2" applyFont="1" applyBorder="1" applyAlignment="1">
      <alignment horizontal="center"/>
    </xf>
    <xf numFmtId="9" fontId="5" fillId="0" borderId="4" xfId="2" applyFont="1" applyBorder="1" applyAlignment="1">
      <alignment horizontal="center"/>
    </xf>
    <xf numFmtId="165" fontId="6" fillId="0" borderId="0" xfId="0" applyNumberFormat="1" applyFont="1"/>
    <xf numFmtId="0" fontId="6" fillId="0" borderId="0" xfId="0" applyFont="1"/>
    <xf numFmtId="0" fontId="7" fillId="0" borderId="0" xfId="0" applyFont="1"/>
    <xf numFmtId="9" fontId="7" fillId="0" borderId="0" xfId="2" applyFont="1" applyAlignment="1">
      <alignment horizontal="center"/>
    </xf>
    <xf numFmtId="165" fontId="7" fillId="0" borderId="0" xfId="0" applyNumberFormat="1" applyFont="1"/>
    <xf numFmtId="9" fontId="7" fillId="0" borderId="0" xfId="2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 wrapText="1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9" fillId="0" borderId="0" xfId="0" applyFont="1"/>
    <xf numFmtId="0" fontId="12" fillId="3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7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165" fontId="9" fillId="0" borderId="0" xfId="6" applyNumberFormat="1" applyFont="1" applyBorder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43" fontId="9" fillId="0" borderId="0" xfId="0" applyNumberFormat="1" applyFont="1" applyAlignment="1">
      <alignment horizontal="left" vertical="center"/>
    </xf>
    <xf numFmtId="3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165" fontId="9" fillId="0" borderId="0" xfId="6" applyNumberFormat="1" applyFont="1" applyBorder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43" fontId="10" fillId="4" borderId="0" xfId="0" applyNumberFormat="1" applyFont="1" applyFill="1" applyAlignment="1">
      <alignment horizontal="left" vertical="center"/>
    </xf>
    <xf numFmtId="3" fontId="11" fillId="4" borderId="0" xfId="0" applyNumberFormat="1" applyFont="1" applyFill="1" applyAlignment="1">
      <alignment horizontal="center" vertical="center"/>
    </xf>
    <xf numFmtId="165" fontId="10" fillId="4" borderId="0" xfId="2" applyNumberFormat="1" applyFont="1" applyFill="1" applyBorder="1" applyAlignment="1">
      <alignment horizontal="center" vertical="center"/>
    </xf>
    <xf numFmtId="165" fontId="9" fillId="0" borderId="0" xfId="2" applyNumberFormat="1" applyFont="1" applyBorder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43" fontId="9" fillId="0" borderId="0" xfId="0" applyNumberFormat="1" applyFont="1" applyAlignment="1">
      <alignment horizontal="center" vertical="center"/>
    </xf>
    <xf numFmtId="165" fontId="9" fillId="0" borderId="0" xfId="6" applyNumberFormat="1" applyFont="1" applyBorder="1" applyAlignment="1">
      <alignment vertical="center"/>
    </xf>
    <xf numFmtId="165" fontId="12" fillId="0" borderId="0" xfId="0" applyNumberFormat="1" applyFont="1" applyAlignment="1">
      <alignment vertical="center"/>
    </xf>
    <xf numFmtId="165" fontId="13" fillId="0" borderId="0" xfId="6" applyNumberFormat="1" applyFont="1" applyBorder="1" applyAlignment="1">
      <alignment vertical="center"/>
    </xf>
    <xf numFmtId="166" fontId="9" fillId="0" borderId="0" xfId="0" applyNumberFormat="1" applyFont="1" applyAlignment="1">
      <alignment horizontal="center" vertical="center"/>
    </xf>
    <xf numFmtId="9" fontId="9" fillId="0" borderId="0" xfId="2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9" fontId="12" fillId="0" borderId="0" xfId="2" applyFont="1" applyBorder="1" applyAlignment="1">
      <alignment horizontal="center" vertical="center" wrapText="1"/>
    </xf>
    <xf numFmtId="9" fontId="9" fillId="0" borderId="0" xfId="0" applyNumberFormat="1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165" fontId="9" fillId="0" borderId="0" xfId="1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0" fontId="9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left" vertical="center"/>
    </xf>
    <xf numFmtId="167" fontId="9" fillId="0" borderId="0" xfId="1" applyNumberFormat="1" applyFont="1" applyAlignment="1">
      <alignment horizontal="center" vertical="center"/>
    </xf>
    <xf numFmtId="167" fontId="9" fillId="0" borderId="0" xfId="0" applyNumberFormat="1" applyFont="1"/>
    <xf numFmtId="167" fontId="9" fillId="5" borderId="0" xfId="1" applyNumberFormat="1" applyFont="1" applyFill="1" applyAlignment="1">
      <alignment horizontal="center" vertical="center"/>
    </xf>
    <xf numFmtId="167" fontId="9" fillId="0" borderId="0" xfId="6" applyNumberFormat="1" applyFont="1" applyBorder="1" applyAlignment="1">
      <alignment horizontal="center" vertical="center"/>
    </xf>
    <xf numFmtId="0" fontId="14" fillId="0" borderId="1" xfId="3" applyFont="1" applyAlignment="1">
      <alignment horizontal="left" vertical="center"/>
    </xf>
    <xf numFmtId="0" fontId="14" fillId="0" borderId="1" xfId="3" applyFont="1" applyAlignment="1">
      <alignment horizontal="center" vertical="center"/>
    </xf>
    <xf numFmtId="164" fontId="14" fillId="0" borderId="1" xfId="3" applyNumberFormat="1" applyFont="1" applyAlignment="1">
      <alignment horizontal="center" vertical="center"/>
    </xf>
    <xf numFmtId="0" fontId="14" fillId="0" borderId="2" xfId="4" applyFont="1" applyAlignment="1">
      <alignment horizontal="center" vertical="center"/>
    </xf>
    <xf numFmtId="0" fontId="14" fillId="0" borderId="2" xfId="4" applyFont="1" applyAlignment="1">
      <alignment vertical="center"/>
    </xf>
    <xf numFmtId="17" fontId="14" fillId="0" borderId="2" xfId="4" applyNumberFormat="1" applyFont="1" applyAlignment="1">
      <alignment horizontal="center" vertical="center"/>
    </xf>
    <xf numFmtId="0" fontId="14" fillId="0" borderId="3" xfId="5" applyFont="1" applyAlignment="1">
      <alignment vertical="center"/>
    </xf>
    <xf numFmtId="0" fontId="14" fillId="0" borderId="3" xfId="5" applyFont="1" applyAlignment="1">
      <alignment horizontal="center" vertical="center"/>
    </xf>
    <xf numFmtId="164" fontId="14" fillId="0" borderId="3" xfId="5" applyNumberFormat="1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167" fontId="12" fillId="0" borderId="0" xfId="6" applyNumberFormat="1" applyFont="1" applyBorder="1" applyAlignment="1">
      <alignment horizontal="center" vertical="center"/>
    </xf>
    <xf numFmtId="167" fontId="14" fillId="0" borderId="3" xfId="5" applyNumberFormat="1" applyFont="1" applyAlignment="1">
      <alignment horizontal="center" vertical="center"/>
    </xf>
    <xf numFmtId="167" fontId="14" fillId="0" borderId="3" xfId="5" applyNumberFormat="1" applyFont="1" applyAlignment="1">
      <alignment vertical="center"/>
    </xf>
    <xf numFmtId="167" fontId="14" fillId="0" borderId="3" xfId="6" applyNumberFormat="1" applyFont="1" applyBorder="1" applyAlignment="1">
      <alignment vertical="center"/>
    </xf>
    <xf numFmtId="168" fontId="9" fillId="0" borderId="0" xfId="0" applyNumberFormat="1" applyFont="1" applyAlignment="1">
      <alignment horizontal="center" vertical="center"/>
    </xf>
    <xf numFmtId="167" fontId="14" fillId="0" borderId="3" xfId="6" applyNumberFormat="1" applyFont="1" applyBorder="1" applyAlignment="1">
      <alignment horizontal="center" vertical="center"/>
    </xf>
    <xf numFmtId="0" fontId="14" fillId="0" borderId="3" xfId="5" applyFont="1" applyAlignment="1">
      <alignment horizontal="left" vertical="center"/>
    </xf>
    <xf numFmtId="167" fontId="14" fillId="0" borderId="3" xfId="6" applyNumberFormat="1" applyFont="1" applyBorder="1" applyAlignment="1">
      <alignment horizontal="left" vertical="center"/>
    </xf>
    <xf numFmtId="0" fontId="14" fillId="0" borderId="3" xfId="5" applyNumberFormat="1" applyFont="1" applyAlignment="1">
      <alignment vertical="center"/>
    </xf>
    <xf numFmtId="165" fontId="14" fillId="0" borderId="3" xfId="5" applyNumberFormat="1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165" fontId="12" fillId="0" borderId="0" xfId="6" applyNumberFormat="1" applyFont="1" applyBorder="1" applyAlignment="1">
      <alignment horizontal="right" vertical="center"/>
    </xf>
    <xf numFmtId="165" fontId="14" fillId="0" borderId="3" xfId="6" applyNumberFormat="1" applyFont="1" applyBorder="1" applyAlignment="1">
      <alignment horizontal="right" vertical="center"/>
    </xf>
    <xf numFmtId="164" fontId="9" fillId="0" borderId="0" xfId="6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/>
    <xf numFmtId="0" fontId="18" fillId="0" borderId="0" xfId="0" applyFont="1" applyAlignment="1">
      <alignment horizontal="center" vertical="center" wrapText="1"/>
    </xf>
    <xf numFmtId="165" fontId="17" fillId="0" borderId="0" xfId="6" applyNumberFormat="1" applyFont="1" applyBorder="1" applyAlignment="1">
      <alignment horizontal="right" vertical="center"/>
    </xf>
    <xf numFmtId="165" fontId="17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165" fontId="17" fillId="0" borderId="0" xfId="6" applyNumberFormat="1" applyFont="1" applyBorder="1" applyAlignment="1">
      <alignment horizontal="center" vertical="center"/>
    </xf>
  </cellXfs>
  <cellStyles count="7">
    <cellStyle name="Comma" xfId="1" builtinId="3"/>
    <cellStyle name="Comma 2" xfId="6" xr:uid="{42F7E874-22AE-4130-A1CE-03ACC1A31EBD}"/>
    <cellStyle name="Heading 1" xfId="3" builtinId="16"/>
    <cellStyle name="Heading 2" xfId="4" builtinId="17"/>
    <cellStyle name="Heading 3" xfId="5" builtinId="1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luwaseun.a/Desktop/ABIOLA/Planning%20docs%20folder/PLANNING%20DOCUMENT%20AS%20AT%207th%20JAN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.agbaffa\Documents\Medbury%20Work%20Files\Budget\2025%20OH%20Budget.xlsx" TargetMode="External"/><Relationship Id="rId1" Type="http://schemas.openxmlformats.org/officeDocument/2006/relationships/externalLinkPath" Target="/Users/b.agbaffa/Documents/Medbury%20Work%20Files/Budget/2025%20OH%20Budge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.agbaffa\Documents\Medbury%20Work%20Files\Budget\New%20folder\2025%20Budget%20-%20MEDSUPPLIES%20BU%20FINANCIAL%20MODEL%202025%20FINAL.xlsx" TargetMode="External"/><Relationship Id="rId1" Type="http://schemas.openxmlformats.org/officeDocument/2006/relationships/externalLinkPath" Target="/Users/b.agbaffa/Documents/Medbury%20Work%20Files/Budget/New%20folder/Signed%20Off%20Budgets/2025%20Budget%20-%20MEDSUPPLIES%20BU%20FINANCIAL%20MODEL%202025%20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.agbaffa\Documents\Medbury%20Work%20Files\Budget\New%20folder\Signed%20Off%20Budgets\2025%20Budget%20-%20MEDFIT%20BU%20FINANCIAL%20MODEL%202025%20FINAL.xlsx" TargetMode="External"/><Relationship Id="rId1" Type="http://schemas.openxmlformats.org/officeDocument/2006/relationships/externalLinkPath" Target="/Users/b.agbaffa/Documents/Medbury%20Work%20Files/Budget/New%20folder/Signed%20Off%20Budgets/2025%20Budget%20-%20MEDFIT%20BU%20FINANCIAL%20MODEL%202025%20FINA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.agbaffa\Documents\Medbury%20Work%20Files\Budget\New%20folder\2025%20Budget%20-%20OH%20MedAdvisory%20Insustrial%20Hygiene%20Services%202025%20-%2003.04.2025.xlsx" TargetMode="External"/><Relationship Id="rId1" Type="http://schemas.openxmlformats.org/officeDocument/2006/relationships/externalLinkPath" Target="/Users/b.agbaffa/Documents/Medbury%20Work%20Files/Budget/New%20folder/Signed%20Off%20Budgets/2025%20Budget%20-%20OH%20MedAdvisory%20Insustrial%20Hygiene%20Services%202025%20-%2003.04.202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.agbaffa\Documents\Medbury%20Work%20Files\Budget\New%20folder\2025%20Budget%20-%20Assistance%20-%20Primary%20Care%20&amp;%20Emergency.xlsx" TargetMode="External"/><Relationship Id="rId1" Type="http://schemas.openxmlformats.org/officeDocument/2006/relationships/externalLinkPath" Target="/Users/b.agbaffa/Documents/Medbury%20Work%20Files/Budget/New%20folder/2025%20Budget%20-%20Assistance%20-%20Primary%20Care%20&amp;%20Emergenc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.agbaffa\Downloads\TRAVEL%20CLINICS%20_FINANCIAL_MODEL_2025_FINAL%20TUNDE.xlsx" TargetMode="External"/><Relationship Id="rId1" Type="http://schemas.openxmlformats.org/officeDocument/2006/relationships/externalLinkPath" Target="/Users/b.agbaffa/Downloads/TRAVEL%20CLINICS%20_FINANCIAL_MODEL_2025_FINAL%20TUND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.agbaffa\Documents\Medbury%20Work%20Files\Budget\New%20folder\2025%20Budget%20-%20MEDFIT-PROJECT%20BU%20FINANCIAL%20MODEL%202025%20FINAL.xlsx" TargetMode="External"/><Relationship Id="rId1" Type="http://schemas.openxmlformats.org/officeDocument/2006/relationships/externalLinkPath" Target="/Users/b.agbaffa/Documents/Medbury%20Work%20Files/Budget/New%20folder/Signed%20Off%20Budgets/2025%20Budget%20-%20MEDFIT-PROJECT%20BU%20FINANCIAL%20MODEL%202025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Overview"/>
      <sheetName val="Receivables"/>
      <sheetName val="PCR Receivables sage"/>
      <sheetName val="Sheet2"/>
      <sheetName val="Payables"/>
      <sheetName val="FOREIGN VENDORS"/>
      <sheetName val="Working Capital"/>
      <sheetName val="Exp scxhedule"/>
      <sheetName val="Capex and Projects"/>
      <sheetName val="Income schedule"/>
      <sheetName val="Sheet1"/>
      <sheetName val="Loan"/>
      <sheetName val="Payroll"/>
      <sheetName val="Commission"/>
    </sheetNames>
    <sheetDataSet>
      <sheetData sheetId="0"/>
      <sheetData sheetId="1">
        <row r="1">
          <cell r="Y1" t="str">
            <v>TOTAL INFLOW</v>
          </cell>
        </row>
      </sheetData>
      <sheetData sheetId="2"/>
      <sheetData sheetId="3"/>
      <sheetData sheetId="4"/>
      <sheetData sheetId="5">
        <row r="4">
          <cell r="W4" t="str">
            <v>Lagos</v>
          </cell>
        </row>
        <row r="6">
          <cell r="W6" t="str">
            <v>Both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HIS"/>
      <sheetName val="Others"/>
      <sheetName val="Lifecheck."/>
      <sheetName val="MedClinics"/>
      <sheetName val="MedClinics2"/>
      <sheetName val="Prf Rpt"/>
      <sheetName val="Lifecheck"/>
      <sheetName val="Assumption (Advisory)"/>
      <sheetName val="Computations (Advisory)"/>
      <sheetName val="Assumption (Medfit)"/>
      <sheetName val="Computations (Medfit)"/>
      <sheetName val="MedClinics Details"/>
      <sheetName val="Medfit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5">
          <cell r="E45">
            <v>0.15</v>
          </cell>
          <cell r="F45">
            <v>0.15</v>
          </cell>
          <cell r="G45">
            <v>0.15</v>
          </cell>
          <cell r="H45">
            <v>0.15</v>
          </cell>
        </row>
        <row r="46">
          <cell r="E46">
            <v>0.15</v>
          </cell>
          <cell r="F46">
            <v>0.15</v>
          </cell>
          <cell r="G46">
            <v>0.15</v>
          </cell>
          <cell r="H46">
            <v>0.15</v>
          </cell>
        </row>
        <row r="48">
          <cell r="E48">
            <v>0.2</v>
          </cell>
          <cell r="F48">
            <v>0.2</v>
          </cell>
          <cell r="G48">
            <v>0.2</v>
          </cell>
          <cell r="H48">
            <v>0.2</v>
          </cell>
        </row>
        <row r="55">
          <cell r="E55">
            <v>0.1</v>
          </cell>
          <cell r="F55">
            <v>0.1</v>
          </cell>
          <cell r="G55">
            <v>0.1</v>
          </cell>
          <cell r="H55">
            <v>0.1</v>
          </cell>
        </row>
      </sheetData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-(MedSupplies)"/>
      <sheetName val="Computations-(MedSupplies)"/>
      <sheetName val="Computations-Outputs"/>
    </sheetNames>
    <sheetDataSet>
      <sheetData sheetId="0"/>
      <sheetData sheetId="1">
        <row r="8">
          <cell r="P8">
            <v>1280000000</v>
          </cell>
        </row>
        <row r="16">
          <cell r="P16">
            <v>697200000</v>
          </cell>
        </row>
        <row r="37">
          <cell r="P37">
            <v>47293254</v>
          </cell>
        </row>
        <row r="41">
          <cell r="P41">
            <v>1200000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-(MedFit)"/>
      <sheetName val="Computations-(MedFit)"/>
      <sheetName val="Computations-Outputs"/>
    </sheetNames>
    <sheetDataSet>
      <sheetData sheetId="0" refreshError="1"/>
      <sheetData sheetId="1">
        <row r="8">
          <cell r="P8">
            <v>1158862754.4000001</v>
          </cell>
        </row>
        <row r="16">
          <cell r="P16">
            <v>572554219.12800002</v>
          </cell>
        </row>
        <row r="37">
          <cell r="P37">
            <v>85875617.065204009</v>
          </cell>
        </row>
        <row r="41">
          <cell r="P41">
            <v>3874999.9999999995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 (Advisory)"/>
      <sheetName val="Computations (Advisory)"/>
      <sheetName val="Assumption (MedClinic)"/>
      <sheetName val="Computations (MedClinic)"/>
    </sheetNames>
    <sheetDataSet>
      <sheetData sheetId="0"/>
      <sheetData sheetId="1">
        <row r="9">
          <cell r="P9">
            <v>736999999.99999988</v>
          </cell>
        </row>
        <row r="17">
          <cell r="P17">
            <v>412469999.99999988</v>
          </cell>
        </row>
        <row r="36">
          <cell r="P36">
            <v>15567400</v>
          </cell>
        </row>
        <row r="40">
          <cell r="P40">
            <v>375000</v>
          </cell>
        </row>
      </sheetData>
      <sheetData sheetId="2"/>
      <sheetData sheetId="3">
        <row r="9">
          <cell r="P9">
            <v>2576213401.9100008</v>
          </cell>
        </row>
        <row r="17">
          <cell r="P17">
            <v>932686174.68759978</v>
          </cell>
        </row>
        <row r="39">
          <cell r="P39">
            <v>281222967.99878991</v>
          </cell>
        </row>
        <row r="43">
          <cell r="P43">
            <v>1500000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-Inputs"/>
      <sheetName val="Computations-Outputs"/>
      <sheetName val="CAPEX Cost"/>
    </sheetNames>
    <sheetDataSet>
      <sheetData sheetId="0"/>
      <sheetData sheetId="1">
        <row r="11">
          <cell r="P11">
            <v>123285000</v>
          </cell>
        </row>
        <row r="19">
          <cell r="P19">
            <v>46848300</v>
          </cell>
        </row>
        <row r="38">
          <cell r="P38">
            <v>30056135</v>
          </cell>
        </row>
        <row r="42">
          <cell r="P42">
            <v>1500000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-(OH)"/>
      <sheetName val="Computations-(OH)"/>
      <sheetName val="Computations-Outputs"/>
    </sheetNames>
    <sheetDataSet>
      <sheetData sheetId="0"/>
      <sheetData sheetId="1">
        <row r="9">
          <cell r="P9">
            <v>127965000</v>
          </cell>
        </row>
        <row r="17">
          <cell r="P17">
            <v>65973372.2685</v>
          </cell>
        </row>
        <row r="35">
          <cell r="P35">
            <v>7425331.9815042503</v>
          </cell>
        </row>
        <row r="39">
          <cell r="P39">
            <v>49999.999999999993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sumption-(MedFit)"/>
      <sheetName val="Computations-(MedFit)"/>
      <sheetName val="Computations-Outputs"/>
    </sheetNames>
    <sheetDataSet>
      <sheetData sheetId="0"/>
      <sheetData sheetId="1">
        <row r="8">
          <cell r="P8">
            <v>482339150.00000089</v>
          </cell>
        </row>
        <row r="16">
          <cell r="P16"/>
        </row>
        <row r="37">
          <cell r="P37"/>
        </row>
        <row r="41">
          <cell r="P41"/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E65C3-5F25-471F-853E-6C705E62F2E7}">
  <sheetPr>
    <tabColor theme="4" tint="0.59999389629810485"/>
  </sheetPr>
  <dimension ref="B1:V119"/>
  <sheetViews>
    <sheetView zoomScale="115" zoomScaleNormal="115" workbookViewId="0">
      <pane xSplit="3" ySplit="2" topLeftCell="H12" activePane="bottomRight" state="frozen"/>
      <selection activeCell="B1" sqref="B1:N1048576"/>
      <selection pane="topRight" activeCell="B1" sqref="B1:N1048576"/>
      <selection pane="bottomLeft" activeCell="B1" sqref="B1:N1048576"/>
      <selection pane="bottomRight" activeCell="H7" sqref="H7"/>
    </sheetView>
  </sheetViews>
  <sheetFormatPr defaultColWidth="8.90625" defaultRowHeight="16" x14ac:dyDescent="0.4"/>
  <cols>
    <col min="1" max="1" width="1" style="19" customWidth="1"/>
    <col min="2" max="2" width="32.1796875" style="29" customWidth="1"/>
    <col min="3" max="3" width="7.90625" style="26" bestFit="1" customWidth="1"/>
    <col min="4" max="4" width="15.6328125" style="26" bestFit="1" customWidth="1"/>
    <col min="5" max="8" width="13.54296875" style="26" bestFit="1" customWidth="1"/>
    <col min="9" max="9" width="15.54296875" style="26" bestFit="1" customWidth="1"/>
    <col min="10" max="13" width="13.54296875" style="26" bestFit="1" customWidth="1"/>
    <col min="14" max="15" width="14.36328125" style="26" bestFit="1" customWidth="1"/>
    <col min="16" max="16" width="16.1796875" style="26" bestFit="1" customWidth="1"/>
    <col min="17" max="17" width="12.81640625" style="19" customWidth="1"/>
    <col min="18" max="18" width="17.1796875" style="19" bestFit="1" customWidth="1"/>
    <col min="19" max="19" width="8.90625" style="19"/>
    <col min="20" max="20" width="9.90625" style="19" bestFit="1" customWidth="1"/>
    <col min="21" max="21" width="11.6328125" style="19" bestFit="1" customWidth="1"/>
    <col min="22" max="16384" width="8.90625" style="19"/>
  </cols>
  <sheetData>
    <row r="1" spans="2:16" x14ac:dyDescent="0.4">
      <c r="B1" s="16" t="s">
        <v>7</v>
      </c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7"/>
    </row>
    <row r="2" spans="2:16" x14ac:dyDescent="0.4">
      <c r="B2" s="20" t="s">
        <v>16</v>
      </c>
      <c r="C2" s="21"/>
      <c r="D2" s="22" t="s">
        <v>17</v>
      </c>
      <c r="E2" s="22" t="s">
        <v>18</v>
      </c>
      <c r="F2" s="22" t="s">
        <v>19</v>
      </c>
      <c r="G2" s="22" t="s">
        <v>20</v>
      </c>
      <c r="H2" s="22" t="s">
        <v>21</v>
      </c>
      <c r="I2" s="22" t="s">
        <v>22</v>
      </c>
      <c r="J2" s="22" t="s">
        <v>23</v>
      </c>
      <c r="K2" s="22" t="s">
        <v>24</v>
      </c>
      <c r="L2" s="22" t="s">
        <v>25</v>
      </c>
      <c r="M2" s="22" t="s">
        <v>26</v>
      </c>
      <c r="N2" s="22" t="s">
        <v>27</v>
      </c>
      <c r="O2" s="22" t="s">
        <v>28</v>
      </c>
      <c r="P2" s="21" t="s">
        <v>29</v>
      </c>
    </row>
    <row r="3" spans="2:16" x14ac:dyDescent="0.4">
      <c r="B3" s="23" t="s">
        <v>30</v>
      </c>
      <c r="C3" s="21"/>
      <c r="D3" s="24">
        <f t="shared" ref="D3:O3" si="0">SUM(D4:D19)</f>
        <v>5010000</v>
      </c>
      <c r="E3" s="24">
        <f t="shared" si="0"/>
        <v>7360000</v>
      </c>
      <c r="F3" s="24">
        <f t="shared" si="0"/>
        <v>5010000</v>
      </c>
      <c r="G3" s="24">
        <f t="shared" si="0"/>
        <v>7360000</v>
      </c>
      <c r="H3" s="24">
        <f t="shared" si="0"/>
        <v>5010000</v>
      </c>
      <c r="I3" s="24">
        <f t="shared" si="0"/>
        <v>7360000</v>
      </c>
      <c r="J3" s="24">
        <f t="shared" si="0"/>
        <v>5010000</v>
      </c>
      <c r="K3" s="24">
        <f t="shared" si="0"/>
        <v>7360000</v>
      </c>
      <c r="L3" s="24">
        <f t="shared" si="0"/>
        <v>5010000</v>
      </c>
      <c r="M3" s="24">
        <f t="shared" si="0"/>
        <v>7360000</v>
      </c>
      <c r="N3" s="24">
        <f t="shared" si="0"/>
        <v>5010000</v>
      </c>
      <c r="O3" s="24">
        <f t="shared" si="0"/>
        <v>7360000</v>
      </c>
      <c r="P3" s="24">
        <f>SUM(P4:P19)</f>
        <v>74220000</v>
      </c>
    </row>
    <row r="4" spans="2:16" x14ac:dyDescent="0.4">
      <c r="B4" s="25" t="s">
        <v>31</v>
      </c>
      <c r="D4" s="27">
        <f t="shared" ref="D4:O4" si="1">D35*D63</f>
        <v>1530000</v>
      </c>
      <c r="E4" s="27">
        <f t="shared" si="1"/>
        <v>1530000</v>
      </c>
      <c r="F4" s="27">
        <f t="shared" si="1"/>
        <v>1530000</v>
      </c>
      <c r="G4" s="27">
        <f t="shared" si="1"/>
        <v>1530000</v>
      </c>
      <c r="H4" s="27">
        <f t="shared" si="1"/>
        <v>1530000</v>
      </c>
      <c r="I4" s="27">
        <f t="shared" si="1"/>
        <v>1530000</v>
      </c>
      <c r="J4" s="27">
        <f t="shared" si="1"/>
        <v>1530000</v>
      </c>
      <c r="K4" s="27">
        <f t="shared" si="1"/>
        <v>1530000</v>
      </c>
      <c r="L4" s="27">
        <f t="shared" si="1"/>
        <v>1530000</v>
      </c>
      <c r="M4" s="27">
        <f t="shared" si="1"/>
        <v>1530000</v>
      </c>
      <c r="N4" s="27">
        <f t="shared" si="1"/>
        <v>1530000</v>
      </c>
      <c r="O4" s="27">
        <f t="shared" si="1"/>
        <v>1530000</v>
      </c>
      <c r="P4" s="28">
        <f>SUM(D4:O4)</f>
        <v>18360000</v>
      </c>
    </row>
    <row r="5" spans="2:16" x14ac:dyDescent="0.4">
      <c r="B5" s="29" t="s">
        <v>32</v>
      </c>
      <c r="C5" s="21"/>
      <c r="D5" s="27">
        <f t="shared" ref="D5:O5" si="2">D36*D64</f>
        <v>1350000</v>
      </c>
      <c r="E5" s="27">
        <f t="shared" si="2"/>
        <v>1350000</v>
      </c>
      <c r="F5" s="27">
        <f t="shared" si="2"/>
        <v>1350000</v>
      </c>
      <c r="G5" s="27">
        <f t="shared" si="2"/>
        <v>1350000</v>
      </c>
      <c r="H5" s="27">
        <f t="shared" si="2"/>
        <v>1350000</v>
      </c>
      <c r="I5" s="27">
        <f t="shared" si="2"/>
        <v>1350000</v>
      </c>
      <c r="J5" s="27">
        <f t="shared" si="2"/>
        <v>1350000</v>
      </c>
      <c r="K5" s="27">
        <f t="shared" si="2"/>
        <v>1350000</v>
      </c>
      <c r="L5" s="27">
        <f t="shared" si="2"/>
        <v>1350000</v>
      </c>
      <c r="M5" s="27">
        <f t="shared" si="2"/>
        <v>1350000</v>
      </c>
      <c r="N5" s="27">
        <f t="shared" si="2"/>
        <v>1350000</v>
      </c>
      <c r="O5" s="27">
        <f t="shared" si="2"/>
        <v>1350000</v>
      </c>
      <c r="P5" s="28">
        <f t="shared" ref="P5:P19" si="3">SUM(D5:O5)</f>
        <v>16200000</v>
      </c>
    </row>
    <row r="6" spans="2:16" x14ac:dyDescent="0.4">
      <c r="B6" s="29" t="s">
        <v>33</v>
      </c>
      <c r="C6" s="21"/>
      <c r="D6" s="27">
        <f t="shared" ref="D6:O6" si="4">D37*D65</f>
        <v>380000</v>
      </c>
      <c r="E6" s="27">
        <f t="shared" si="4"/>
        <v>380000</v>
      </c>
      <c r="F6" s="27">
        <f t="shared" si="4"/>
        <v>380000</v>
      </c>
      <c r="G6" s="27">
        <f t="shared" si="4"/>
        <v>380000</v>
      </c>
      <c r="H6" s="27">
        <f t="shared" si="4"/>
        <v>380000</v>
      </c>
      <c r="I6" s="27">
        <f t="shared" si="4"/>
        <v>380000</v>
      </c>
      <c r="J6" s="27">
        <f t="shared" si="4"/>
        <v>380000</v>
      </c>
      <c r="K6" s="27">
        <f t="shared" si="4"/>
        <v>380000</v>
      </c>
      <c r="L6" s="27">
        <f t="shared" si="4"/>
        <v>380000</v>
      </c>
      <c r="M6" s="27">
        <f t="shared" si="4"/>
        <v>380000</v>
      </c>
      <c r="N6" s="27">
        <f t="shared" si="4"/>
        <v>380000</v>
      </c>
      <c r="O6" s="27">
        <f t="shared" si="4"/>
        <v>380000</v>
      </c>
      <c r="P6" s="28">
        <f t="shared" si="3"/>
        <v>4560000</v>
      </c>
    </row>
    <row r="7" spans="2:16" x14ac:dyDescent="0.4">
      <c r="B7" s="29" t="s">
        <v>34</v>
      </c>
      <c r="C7" s="21"/>
      <c r="D7" s="27">
        <f t="shared" ref="D7:O7" si="5">D38*D66</f>
        <v>450000</v>
      </c>
      <c r="E7" s="27">
        <f t="shared" si="5"/>
        <v>450000</v>
      </c>
      <c r="F7" s="27">
        <f t="shared" si="5"/>
        <v>450000</v>
      </c>
      <c r="G7" s="27">
        <f t="shared" si="5"/>
        <v>450000</v>
      </c>
      <c r="H7" s="27">
        <f t="shared" si="5"/>
        <v>450000</v>
      </c>
      <c r="I7" s="27">
        <f t="shared" si="5"/>
        <v>450000</v>
      </c>
      <c r="J7" s="27">
        <f t="shared" si="5"/>
        <v>450000</v>
      </c>
      <c r="K7" s="27">
        <f t="shared" si="5"/>
        <v>450000</v>
      </c>
      <c r="L7" s="27">
        <f t="shared" si="5"/>
        <v>450000</v>
      </c>
      <c r="M7" s="27">
        <f t="shared" si="5"/>
        <v>450000</v>
      </c>
      <c r="N7" s="27">
        <f t="shared" si="5"/>
        <v>450000</v>
      </c>
      <c r="O7" s="27">
        <f t="shared" si="5"/>
        <v>450000</v>
      </c>
      <c r="P7" s="28">
        <f t="shared" si="3"/>
        <v>5400000</v>
      </c>
    </row>
    <row r="8" spans="2:16" s="84" customFormat="1" x14ac:dyDescent="0.4">
      <c r="B8" s="83" t="s">
        <v>118</v>
      </c>
      <c r="C8" s="85"/>
      <c r="D8" s="86">
        <f>D39*D67</f>
        <v>0</v>
      </c>
      <c r="E8" s="86">
        <f t="shared" ref="E8:O8" si="6">E39*E67</f>
        <v>0</v>
      </c>
      <c r="F8" s="86">
        <f t="shared" si="6"/>
        <v>0</v>
      </c>
      <c r="G8" s="86">
        <f t="shared" si="6"/>
        <v>0</v>
      </c>
      <c r="H8" s="86">
        <f t="shared" si="6"/>
        <v>0</v>
      </c>
      <c r="I8" s="86">
        <f t="shared" si="6"/>
        <v>0</v>
      </c>
      <c r="J8" s="86">
        <f t="shared" si="6"/>
        <v>0</v>
      </c>
      <c r="K8" s="86">
        <f t="shared" si="6"/>
        <v>0</v>
      </c>
      <c r="L8" s="86">
        <f t="shared" si="6"/>
        <v>0</v>
      </c>
      <c r="M8" s="86">
        <f t="shared" si="6"/>
        <v>0</v>
      </c>
      <c r="N8" s="86">
        <f t="shared" si="6"/>
        <v>0</v>
      </c>
      <c r="O8" s="86">
        <f t="shared" si="6"/>
        <v>0</v>
      </c>
      <c r="P8" s="87">
        <f t="shared" si="3"/>
        <v>0</v>
      </c>
    </row>
    <row r="9" spans="2:16" s="84" customFormat="1" x14ac:dyDescent="0.4">
      <c r="B9" s="83" t="s">
        <v>119</v>
      </c>
      <c r="C9" s="88"/>
      <c r="D9" s="86">
        <f t="shared" ref="D9:O11" si="7">D40*D68</f>
        <v>0</v>
      </c>
      <c r="E9" s="86">
        <f t="shared" si="7"/>
        <v>0</v>
      </c>
      <c r="F9" s="86">
        <f t="shared" si="7"/>
        <v>0</v>
      </c>
      <c r="G9" s="86">
        <f t="shared" si="7"/>
        <v>0</v>
      </c>
      <c r="H9" s="86">
        <f t="shared" si="7"/>
        <v>0</v>
      </c>
      <c r="I9" s="86">
        <f t="shared" si="7"/>
        <v>0</v>
      </c>
      <c r="J9" s="86">
        <f t="shared" si="7"/>
        <v>0</v>
      </c>
      <c r="K9" s="86">
        <f t="shared" si="7"/>
        <v>0</v>
      </c>
      <c r="L9" s="86">
        <f t="shared" si="7"/>
        <v>0</v>
      </c>
      <c r="M9" s="86">
        <f t="shared" si="7"/>
        <v>0</v>
      </c>
      <c r="N9" s="86">
        <f t="shared" si="7"/>
        <v>0</v>
      </c>
      <c r="O9" s="86">
        <f t="shared" si="7"/>
        <v>0</v>
      </c>
      <c r="P9" s="87">
        <f t="shared" si="3"/>
        <v>0</v>
      </c>
    </row>
    <row r="10" spans="2:16" s="84" customFormat="1" x14ac:dyDescent="0.4">
      <c r="B10" s="83" t="s">
        <v>120</v>
      </c>
      <c r="C10" s="88"/>
      <c r="D10" s="86">
        <f t="shared" si="7"/>
        <v>0</v>
      </c>
      <c r="E10" s="86">
        <f t="shared" si="7"/>
        <v>0</v>
      </c>
      <c r="F10" s="86">
        <f t="shared" si="7"/>
        <v>0</v>
      </c>
      <c r="G10" s="86">
        <f t="shared" si="7"/>
        <v>0</v>
      </c>
      <c r="H10" s="86">
        <f t="shared" si="7"/>
        <v>0</v>
      </c>
      <c r="I10" s="86">
        <f t="shared" si="7"/>
        <v>0</v>
      </c>
      <c r="J10" s="86">
        <f t="shared" si="7"/>
        <v>0</v>
      </c>
      <c r="K10" s="86">
        <f t="shared" si="7"/>
        <v>0</v>
      </c>
      <c r="L10" s="86">
        <f t="shared" si="7"/>
        <v>0</v>
      </c>
      <c r="M10" s="86">
        <f t="shared" si="7"/>
        <v>0</v>
      </c>
      <c r="N10" s="86">
        <f t="shared" si="7"/>
        <v>0</v>
      </c>
      <c r="O10" s="86">
        <f t="shared" si="7"/>
        <v>0</v>
      </c>
      <c r="P10" s="87">
        <f t="shared" si="3"/>
        <v>0</v>
      </c>
    </row>
    <row r="11" spans="2:16" s="84" customFormat="1" x14ac:dyDescent="0.4">
      <c r="B11" s="83" t="s">
        <v>121</v>
      </c>
      <c r="C11" s="88"/>
      <c r="D11" s="86">
        <f t="shared" si="7"/>
        <v>0</v>
      </c>
      <c r="E11" s="86">
        <f t="shared" si="7"/>
        <v>0</v>
      </c>
      <c r="F11" s="86">
        <f t="shared" si="7"/>
        <v>0</v>
      </c>
      <c r="G11" s="86">
        <f t="shared" si="7"/>
        <v>0</v>
      </c>
      <c r="H11" s="86">
        <f t="shared" si="7"/>
        <v>0</v>
      </c>
      <c r="I11" s="86">
        <f t="shared" si="7"/>
        <v>0</v>
      </c>
      <c r="J11" s="86">
        <f t="shared" si="7"/>
        <v>0</v>
      </c>
      <c r="K11" s="86">
        <f t="shared" si="7"/>
        <v>0</v>
      </c>
      <c r="L11" s="86">
        <f t="shared" si="7"/>
        <v>0</v>
      </c>
      <c r="M11" s="86">
        <f t="shared" si="7"/>
        <v>0</v>
      </c>
      <c r="N11" s="86">
        <f t="shared" si="7"/>
        <v>0</v>
      </c>
      <c r="O11" s="86">
        <f t="shared" si="7"/>
        <v>0</v>
      </c>
      <c r="P11" s="87">
        <f t="shared" si="3"/>
        <v>0</v>
      </c>
    </row>
    <row r="12" spans="2:16" x14ac:dyDescent="0.4">
      <c r="B12" s="25" t="s">
        <v>35</v>
      </c>
      <c r="C12" s="21"/>
      <c r="D12" s="27">
        <f t="shared" ref="D12:O12" si="8">D43*D71</f>
        <v>0</v>
      </c>
      <c r="E12" s="27">
        <f t="shared" si="8"/>
        <v>1500000</v>
      </c>
      <c r="F12" s="27">
        <f t="shared" si="8"/>
        <v>0</v>
      </c>
      <c r="G12" s="27">
        <f t="shared" si="8"/>
        <v>1500000</v>
      </c>
      <c r="H12" s="27">
        <f t="shared" si="8"/>
        <v>0</v>
      </c>
      <c r="I12" s="27">
        <f t="shared" si="8"/>
        <v>1500000</v>
      </c>
      <c r="J12" s="27">
        <f t="shared" si="8"/>
        <v>0</v>
      </c>
      <c r="K12" s="27">
        <f t="shared" si="8"/>
        <v>1500000</v>
      </c>
      <c r="L12" s="27">
        <f t="shared" si="8"/>
        <v>0</v>
      </c>
      <c r="M12" s="27">
        <f t="shared" si="8"/>
        <v>1500000</v>
      </c>
      <c r="N12" s="27">
        <f t="shared" si="8"/>
        <v>0</v>
      </c>
      <c r="O12" s="27">
        <f t="shared" si="8"/>
        <v>1500000</v>
      </c>
      <c r="P12" s="28">
        <f t="shared" si="3"/>
        <v>9000000</v>
      </c>
    </row>
    <row r="13" spans="2:16" x14ac:dyDescent="0.4">
      <c r="B13" s="29" t="s">
        <v>36</v>
      </c>
      <c r="C13" s="21"/>
      <c r="D13" s="27">
        <f t="shared" ref="D13:O13" si="9">D44*D72</f>
        <v>850000</v>
      </c>
      <c r="E13" s="27">
        <f t="shared" si="9"/>
        <v>850000</v>
      </c>
      <c r="F13" s="27">
        <f t="shared" si="9"/>
        <v>850000</v>
      </c>
      <c r="G13" s="27">
        <f t="shared" si="9"/>
        <v>850000</v>
      </c>
      <c r="H13" s="27">
        <f t="shared" si="9"/>
        <v>850000</v>
      </c>
      <c r="I13" s="27">
        <f t="shared" si="9"/>
        <v>850000</v>
      </c>
      <c r="J13" s="27">
        <f t="shared" si="9"/>
        <v>850000</v>
      </c>
      <c r="K13" s="27">
        <f t="shared" si="9"/>
        <v>850000</v>
      </c>
      <c r="L13" s="27">
        <f t="shared" si="9"/>
        <v>850000</v>
      </c>
      <c r="M13" s="27">
        <f t="shared" si="9"/>
        <v>850000</v>
      </c>
      <c r="N13" s="27">
        <f t="shared" si="9"/>
        <v>850000</v>
      </c>
      <c r="O13" s="27">
        <f t="shared" si="9"/>
        <v>850000</v>
      </c>
      <c r="P13" s="28">
        <f t="shared" si="3"/>
        <v>10200000</v>
      </c>
    </row>
    <row r="14" spans="2:16" x14ac:dyDescent="0.4">
      <c r="B14" s="29" t="s">
        <v>37</v>
      </c>
      <c r="C14" s="21"/>
      <c r="D14" s="27">
        <f t="shared" ref="D14:O14" si="10">D45*D73</f>
        <v>450000</v>
      </c>
      <c r="E14" s="27">
        <f t="shared" si="10"/>
        <v>450000</v>
      </c>
      <c r="F14" s="27">
        <f t="shared" si="10"/>
        <v>450000</v>
      </c>
      <c r="G14" s="27">
        <f t="shared" si="10"/>
        <v>450000</v>
      </c>
      <c r="H14" s="27">
        <f t="shared" si="10"/>
        <v>450000</v>
      </c>
      <c r="I14" s="27">
        <f t="shared" si="10"/>
        <v>450000</v>
      </c>
      <c r="J14" s="27">
        <f t="shared" si="10"/>
        <v>450000</v>
      </c>
      <c r="K14" s="27">
        <f t="shared" si="10"/>
        <v>450000</v>
      </c>
      <c r="L14" s="27">
        <f t="shared" si="10"/>
        <v>450000</v>
      </c>
      <c r="M14" s="27">
        <f t="shared" si="10"/>
        <v>450000</v>
      </c>
      <c r="N14" s="27">
        <f t="shared" si="10"/>
        <v>450000</v>
      </c>
      <c r="O14" s="27">
        <f t="shared" si="10"/>
        <v>450000</v>
      </c>
      <c r="P14" s="28">
        <f t="shared" si="3"/>
        <v>5400000</v>
      </c>
    </row>
    <row r="15" spans="2:16" x14ac:dyDescent="0.4">
      <c r="B15" s="29" t="s">
        <v>51</v>
      </c>
      <c r="C15" s="21"/>
      <c r="D15" s="27">
        <f t="shared" ref="D15:O15" si="11">D46*D74</f>
        <v>0</v>
      </c>
      <c r="E15" s="27">
        <f t="shared" si="11"/>
        <v>850000</v>
      </c>
      <c r="F15" s="27">
        <f t="shared" si="11"/>
        <v>0</v>
      </c>
      <c r="G15" s="27">
        <f t="shared" si="11"/>
        <v>850000</v>
      </c>
      <c r="H15" s="27">
        <f t="shared" si="11"/>
        <v>0</v>
      </c>
      <c r="I15" s="27">
        <f t="shared" si="11"/>
        <v>850000</v>
      </c>
      <c r="J15" s="27">
        <f t="shared" si="11"/>
        <v>0</v>
      </c>
      <c r="K15" s="27">
        <f t="shared" si="11"/>
        <v>850000</v>
      </c>
      <c r="L15" s="27">
        <f t="shared" si="11"/>
        <v>0</v>
      </c>
      <c r="M15" s="27">
        <f t="shared" si="11"/>
        <v>850000</v>
      </c>
      <c r="N15" s="27">
        <f t="shared" si="11"/>
        <v>0</v>
      </c>
      <c r="O15" s="27">
        <f t="shared" si="11"/>
        <v>850000</v>
      </c>
      <c r="P15" s="28">
        <f t="shared" si="3"/>
        <v>5100000</v>
      </c>
    </row>
    <row r="16" spans="2:16" s="84" customFormat="1" x14ac:dyDescent="0.4">
      <c r="B16" s="83" t="s">
        <v>122</v>
      </c>
      <c r="C16" s="85"/>
      <c r="D16" s="86">
        <f>D47*D75</f>
        <v>0</v>
      </c>
      <c r="E16" s="86">
        <f t="shared" ref="E16:O16" si="12">E47*E75</f>
        <v>0</v>
      </c>
      <c r="F16" s="86">
        <f t="shared" si="12"/>
        <v>0</v>
      </c>
      <c r="G16" s="86">
        <f t="shared" si="12"/>
        <v>0</v>
      </c>
      <c r="H16" s="86">
        <f t="shared" si="12"/>
        <v>0</v>
      </c>
      <c r="I16" s="86">
        <f t="shared" si="12"/>
        <v>0</v>
      </c>
      <c r="J16" s="86">
        <f t="shared" si="12"/>
        <v>0</v>
      </c>
      <c r="K16" s="86">
        <f t="shared" si="12"/>
        <v>0</v>
      </c>
      <c r="L16" s="86">
        <f t="shared" si="12"/>
        <v>0</v>
      </c>
      <c r="M16" s="86">
        <f t="shared" si="12"/>
        <v>0</v>
      </c>
      <c r="N16" s="86">
        <f t="shared" si="12"/>
        <v>0</v>
      </c>
      <c r="O16" s="86">
        <f t="shared" si="12"/>
        <v>0</v>
      </c>
      <c r="P16" s="87">
        <f t="shared" si="3"/>
        <v>0</v>
      </c>
    </row>
    <row r="17" spans="2:17" s="84" customFormat="1" x14ac:dyDescent="0.4">
      <c r="B17" s="83" t="s">
        <v>123</v>
      </c>
      <c r="C17" s="88"/>
      <c r="D17" s="86">
        <f t="shared" ref="D17:O19" si="13">D48*D76</f>
        <v>0</v>
      </c>
      <c r="E17" s="86">
        <f t="shared" si="13"/>
        <v>0</v>
      </c>
      <c r="F17" s="86">
        <f t="shared" si="13"/>
        <v>0</v>
      </c>
      <c r="G17" s="86">
        <f t="shared" si="13"/>
        <v>0</v>
      </c>
      <c r="H17" s="86">
        <f t="shared" si="13"/>
        <v>0</v>
      </c>
      <c r="I17" s="86">
        <f t="shared" si="13"/>
        <v>0</v>
      </c>
      <c r="J17" s="86">
        <f t="shared" si="13"/>
        <v>0</v>
      </c>
      <c r="K17" s="86">
        <f t="shared" si="13"/>
        <v>0</v>
      </c>
      <c r="L17" s="86">
        <f t="shared" si="13"/>
        <v>0</v>
      </c>
      <c r="M17" s="86">
        <f t="shared" si="13"/>
        <v>0</v>
      </c>
      <c r="N17" s="86">
        <f t="shared" si="13"/>
        <v>0</v>
      </c>
      <c r="O17" s="86">
        <f t="shared" si="13"/>
        <v>0</v>
      </c>
      <c r="P17" s="87">
        <f t="shared" si="3"/>
        <v>0</v>
      </c>
    </row>
    <row r="18" spans="2:17" s="84" customFormat="1" x14ac:dyDescent="0.4">
      <c r="B18" s="83" t="s">
        <v>124</v>
      </c>
      <c r="C18" s="88"/>
      <c r="D18" s="86">
        <f t="shared" si="13"/>
        <v>0</v>
      </c>
      <c r="E18" s="86">
        <f t="shared" si="13"/>
        <v>0</v>
      </c>
      <c r="F18" s="86">
        <f t="shared" si="13"/>
        <v>0</v>
      </c>
      <c r="G18" s="86">
        <f t="shared" si="13"/>
        <v>0</v>
      </c>
      <c r="H18" s="86">
        <f t="shared" si="13"/>
        <v>0</v>
      </c>
      <c r="I18" s="86">
        <f t="shared" si="13"/>
        <v>0</v>
      </c>
      <c r="J18" s="86">
        <f t="shared" si="13"/>
        <v>0</v>
      </c>
      <c r="K18" s="86">
        <f t="shared" si="13"/>
        <v>0</v>
      </c>
      <c r="L18" s="86">
        <f t="shared" si="13"/>
        <v>0</v>
      </c>
      <c r="M18" s="86">
        <f t="shared" si="13"/>
        <v>0</v>
      </c>
      <c r="N18" s="86">
        <f t="shared" si="13"/>
        <v>0</v>
      </c>
      <c r="O18" s="86">
        <f t="shared" si="13"/>
        <v>0</v>
      </c>
      <c r="P18" s="87">
        <f t="shared" si="3"/>
        <v>0</v>
      </c>
    </row>
    <row r="19" spans="2:17" s="84" customFormat="1" x14ac:dyDescent="0.4">
      <c r="B19" s="83" t="s">
        <v>125</v>
      </c>
      <c r="C19" s="88"/>
      <c r="D19" s="86">
        <f t="shared" si="13"/>
        <v>0</v>
      </c>
      <c r="E19" s="86">
        <f t="shared" si="13"/>
        <v>0</v>
      </c>
      <c r="F19" s="86">
        <f t="shared" si="13"/>
        <v>0</v>
      </c>
      <c r="G19" s="86">
        <f t="shared" si="13"/>
        <v>0</v>
      </c>
      <c r="H19" s="86">
        <f t="shared" si="13"/>
        <v>0</v>
      </c>
      <c r="I19" s="86">
        <f t="shared" si="13"/>
        <v>0</v>
      </c>
      <c r="J19" s="86">
        <f t="shared" si="13"/>
        <v>0</v>
      </c>
      <c r="K19" s="86">
        <f t="shared" si="13"/>
        <v>0</v>
      </c>
      <c r="L19" s="86">
        <f t="shared" si="13"/>
        <v>0</v>
      </c>
      <c r="M19" s="86">
        <f t="shared" si="13"/>
        <v>0</v>
      </c>
      <c r="N19" s="86">
        <f t="shared" si="13"/>
        <v>0</v>
      </c>
      <c r="O19" s="86">
        <f t="shared" si="13"/>
        <v>0</v>
      </c>
      <c r="P19" s="87">
        <f t="shared" si="3"/>
        <v>0</v>
      </c>
    </row>
    <row r="20" spans="2:17" x14ac:dyDescent="0.4">
      <c r="C20" s="21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4"/>
    </row>
    <row r="21" spans="2:17" x14ac:dyDescent="0.4">
      <c r="B21" s="30"/>
      <c r="C21" s="31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4"/>
    </row>
    <row r="22" spans="2:17" x14ac:dyDescent="0.4">
      <c r="B22" s="23" t="s">
        <v>39</v>
      </c>
      <c r="C22" s="31"/>
      <c r="D22" s="24">
        <f>SUM(D23:D29)</f>
        <v>15637783.492499996</v>
      </c>
      <c r="E22" s="24">
        <f t="shared" ref="E22:P22" si="14">SUM(E23:E29)</f>
        <v>15637783.492499996</v>
      </c>
      <c r="F22" s="24">
        <f t="shared" si="14"/>
        <v>15637783.492499996</v>
      </c>
      <c r="G22" s="24">
        <f t="shared" si="14"/>
        <v>15637783.492499996</v>
      </c>
      <c r="H22" s="24">
        <f t="shared" si="14"/>
        <v>15637783.492499996</v>
      </c>
      <c r="I22" s="24">
        <f t="shared" si="14"/>
        <v>15637783.492499996</v>
      </c>
      <c r="J22" s="24">
        <f t="shared" si="14"/>
        <v>15637783.492499996</v>
      </c>
      <c r="K22" s="24">
        <f t="shared" si="14"/>
        <v>15637783.492499996</v>
      </c>
      <c r="L22" s="24">
        <f t="shared" si="14"/>
        <v>15637783.492499996</v>
      </c>
      <c r="M22" s="24">
        <f t="shared" si="14"/>
        <v>15637783.492499996</v>
      </c>
      <c r="N22" s="24">
        <f t="shared" si="14"/>
        <v>15637783.492499996</v>
      </c>
      <c r="O22" s="24">
        <f t="shared" si="14"/>
        <v>15637783.492499996</v>
      </c>
      <c r="P22" s="24">
        <f t="shared" si="14"/>
        <v>187653401.90999991</v>
      </c>
    </row>
    <row r="23" spans="2:17" x14ac:dyDescent="0.4">
      <c r="B23" s="32" t="s">
        <v>40</v>
      </c>
      <c r="D23" s="27">
        <f>D53*D81</f>
        <v>4825999.62</v>
      </c>
      <c r="E23" s="27">
        <f>D23</f>
        <v>4825999.62</v>
      </c>
      <c r="F23" s="27">
        <f t="shared" ref="F23:O23" si="15">E23</f>
        <v>4825999.62</v>
      </c>
      <c r="G23" s="27">
        <f t="shared" si="15"/>
        <v>4825999.62</v>
      </c>
      <c r="H23" s="27">
        <f t="shared" si="15"/>
        <v>4825999.62</v>
      </c>
      <c r="I23" s="27">
        <f t="shared" si="15"/>
        <v>4825999.62</v>
      </c>
      <c r="J23" s="27">
        <f t="shared" si="15"/>
        <v>4825999.62</v>
      </c>
      <c r="K23" s="27">
        <f t="shared" si="15"/>
        <v>4825999.62</v>
      </c>
      <c r="L23" s="27">
        <f t="shared" si="15"/>
        <v>4825999.62</v>
      </c>
      <c r="M23" s="27">
        <f t="shared" si="15"/>
        <v>4825999.62</v>
      </c>
      <c r="N23" s="27">
        <f t="shared" si="15"/>
        <v>4825999.62</v>
      </c>
      <c r="O23" s="27">
        <f t="shared" si="15"/>
        <v>4825999.62</v>
      </c>
      <c r="P23" s="28">
        <f t="shared" ref="P23:P29" si="16">SUM(D23:O23)</f>
        <v>57911995.43999999</v>
      </c>
      <c r="Q23" s="19" t="s">
        <v>41</v>
      </c>
    </row>
    <row r="24" spans="2:17" x14ac:dyDescent="0.4">
      <c r="B24" s="32" t="s">
        <v>42</v>
      </c>
      <c r="D24" s="27">
        <f>D54*D82</f>
        <v>2631766.63</v>
      </c>
      <c r="E24" s="27">
        <f t="shared" ref="E24:O24" si="17">E54*E82</f>
        <v>2631766.63</v>
      </c>
      <c r="F24" s="27">
        <f t="shared" si="17"/>
        <v>2631766.63</v>
      </c>
      <c r="G24" s="27">
        <f t="shared" si="17"/>
        <v>2631766.63</v>
      </c>
      <c r="H24" s="27">
        <f t="shared" si="17"/>
        <v>2631766.63</v>
      </c>
      <c r="I24" s="27">
        <f t="shared" si="17"/>
        <v>2631766.63</v>
      </c>
      <c r="J24" s="27">
        <f t="shared" si="17"/>
        <v>2631766.63</v>
      </c>
      <c r="K24" s="27">
        <f t="shared" si="17"/>
        <v>2631766.63</v>
      </c>
      <c r="L24" s="27">
        <f t="shared" si="17"/>
        <v>2631766.63</v>
      </c>
      <c r="M24" s="27">
        <f t="shared" si="17"/>
        <v>2631766.63</v>
      </c>
      <c r="N24" s="27">
        <f t="shared" si="17"/>
        <v>2631766.63</v>
      </c>
      <c r="O24" s="27">
        <f t="shared" si="17"/>
        <v>2631766.63</v>
      </c>
      <c r="P24" s="28">
        <f t="shared" si="16"/>
        <v>31581199.559999991</v>
      </c>
      <c r="Q24" s="19" t="s">
        <v>41</v>
      </c>
    </row>
    <row r="25" spans="2:17" x14ac:dyDescent="0.4">
      <c r="B25" s="33" t="s">
        <v>43</v>
      </c>
      <c r="D25" s="27">
        <f>D55*D83</f>
        <v>609150</v>
      </c>
      <c r="E25" s="27">
        <f t="shared" ref="E25:O25" si="18">E55*E83</f>
        <v>609150</v>
      </c>
      <c r="F25" s="27">
        <f t="shared" si="18"/>
        <v>609150</v>
      </c>
      <c r="G25" s="27">
        <f t="shared" si="18"/>
        <v>609150</v>
      </c>
      <c r="H25" s="27">
        <f t="shared" si="18"/>
        <v>609150</v>
      </c>
      <c r="I25" s="27">
        <f t="shared" si="18"/>
        <v>609150</v>
      </c>
      <c r="J25" s="27">
        <f t="shared" si="18"/>
        <v>609150</v>
      </c>
      <c r="K25" s="27">
        <f t="shared" si="18"/>
        <v>609150</v>
      </c>
      <c r="L25" s="27">
        <f t="shared" si="18"/>
        <v>609150</v>
      </c>
      <c r="M25" s="27">
        <f t="shared" si="18"/>
        <v>609150</v>
      </c>
      <c r="N25" s="27">
        <f t="shared" si="18"/>
        <v>609150</v>
      </c>
      <c r="O25" s="27">
        <f t="shared" si="18"/>
        <v>609150</v>
      </c>
      <c r="P25" s="28">
        <f t="shared" si="16"/>
        <v>7309800</v>
      </c>
      <c r="Q25" s="19" t="s">
        <v>41</v>
      </c>
    </row>
    <row r="26" spans="2:17" x14ac:dyDescent="0.4">
      <c r="B26" s="29" t="s">
        <v>44</v>
      </c>
      <c r="C26" s="31"/>
      <c r="D26" s="27">
        <f>(D56*D84)</f>
        <v>4570867.242499996</v>
      </c>
      <c r="E26" s="27">
        <f>D26</f>
        <v>4570867.242499996</v>
      </c>
      <c r="F26" s="27">
        <f t="shared" ref="F26:O28" si="19">E26</f>
        <v>4570867.242499996</v>
      </c>
      <c r="G26" s="27">
        <f t="shared" si="19"/>
        <v>4570867.242499996</v>
      </c>
      <c r="H26" s="27">
        <f t="shared" si="19"/>
        <v>4570867.242499996</v>
      </c>
      <c r="I26" s="27">
        <f t="shared" si="19"/>
        <v>4570867.242499996</v>
      </c>
      <c r="J26" s="27">
        <f t="shared" si="19"/>
        <v>4570867.242499996</v>
      </c>
      <c r="K26" s="27">
        <f t="shared" si="19"/>
        <v>4570867.242499996</v>
      </c>
      <c r="L26" s="27">
        <f t="shared" si="19"/>
        <v>4570867.242499996</v>
      </c>
      <c r="M26" s="27">
        <f t="shared" si="19"/>
        <v>4570867.242499996</v>
      </c>
      <c r="N26" s="27">
        <f t="shared" si="19"/>
        <v>4570867.242499996</v>
      </c>
      <c r="O26" s="27">
        <f t="shared" si="19"/>
        <v>4570867.242499996</v>
      </c>
      <c r="P26" s="28">
        <f t="shared" si="16"/>
        <v>54850406.909999937</v>
      </c>
      <c r="Q26" s="19" t="s">
        <v>45</v>
      </c>
    </row>
    <row r="27" spans="2:17" hidden="1" x14ac:dyDescent="0.4">
      <c r="B27" s="29" t="s">
        <v>46</v>
      </c>
      <c r="C27" s="31"/>
      <c r="D27" s="27">
        <f>(D57*D85)</f>
        <v>0</v>
      </c>
      <c r="E27" s="27">
        <f>D27</f>
        <v>0</v>
      </c>
      <c r="F27" s="27">
        <f t="shared" si="19"/>
        <v>0</v>
      </c>
      <c r="G27" s="27">
        <f t="shared" si="19"/>
        <v>0</v>
      </c>
      <c r="H27" s="27">
        <f t="shared" si="19"/>
        <v>0</v>
      </c>
      <c r="I27" s="27">
        <f t="shared" si="19"/>
        <v>0</v>
      </c>
      <c r="J27" s="27">
        <f t="shared" si="19"/>
        <v>0</v>
      </c>
      <c r="K27" s="27">
        <f t="shared" si="19"/>
        <v>0</v>
      </c>
      <c r="L27" s="27">
        <f t="shared" si="19"/>
        <v>0</v>
      </c>
      <c r="M27" s="27">
        <f t="shared" si="19"/>
        <v>0</v>
      </c>
      <c r="N27" s="27">
        <f t="shared" si="19"/>
        <v>0</v>
      </c>
      <c r="O27" s="27">
        <f t="shared" si="19"/>
        <v>0</v>
      </c>
      <c r="P27" s="28">
        <f t="shared" si="16"/>
        <v>0</v>
      </c>
    </row>
    <row r="28" spans="2:17" x14ac:dyDescent="0.4">
      <c r="B28" s="29" t="s">
        <v>47</v>
      </c>
      <c r="C28" s="31"/>
      <c r="D28" s="27">
        <f>(D58*D86)</f>
        <v>0</v>
      </c>
      <c r="E28" s="27">
        <f>D28</f>
        <v>0</v>
      </c>
      <c r="F28" s="27">
        <f t="shared" si="19"/>
        <v>0</v>
      </c>
      <c r="G28" s="27">
        <f t="shared" si="19"/>
        <v>0</v>
      </c>
      <c r="H28" s="27">
        <f t="shared" si="19"/>
        <v>0</v>
      </c>
      <c r="I28" s="27">
        <f t="shared" si="19"/>
        <v>0</v>
      </c>
      <c r="J28" s="27">
        <f t="shared" si="19"/>
        <v>0</v>
      </c>
      <c r="K28" s="27">
        <f t="shared" si="19"/>
        <v>0</v>
      </c>
      <c r="L28" s="27">
        <f t="shared" si="19"/>
        <v>0</v>
      </c>
      <c r="M28" s="27">
        <f t="shared" si="19"/>
        <v>0</v>
      </c>
      <c r="N28" s="27">
        <f t="shared" si="19"/>
        <v>0</v>
      </c>
      <c r="O28" s="27">
        <f t="shared" si="19"/>
        <v>0</v>
      </c>
      <c r="P28" s="28">
        <f t="shared" si="16"/>
        <v>0</v>
      </c>
    </row>
    <row r="29" spans="2:17" x14ac:dyDescent="0.4">
      <c r="B29" s="33" t="s">
        <v>111</v>
      </c>
      <c r="C29" s="31"/>
      <c r="D29" s="27">
        <v>3000000</v>
      </c>
      <c r="E29" s="27">
        <f>D29</f>
        <v>3000000</v>
      </c>
      <c r="F29" s="27">
        <f t="shared" ref="F29" si="20">E29</f>
        <v>3000000</v>
      </c>
      <c r="G29" s="27">
        <f t="shared" ref="G29" si="21">F29</f>
        <v>3000000</v>
      </c>
      <c r="H29" s="27">
        <f t="shared" ref="H29" si="22">G29</f>
        <v>3000000</v>
      </c>
      <c r="I29" s="27">
        <f t="shared" ref="I29" si="23">H29</f>
        <v>3000000</v>
      </c>
      <c r="J29" s="27">
        <f t="shared" ref="J29" si="24">I29</f>
        <v>3000000</v>
      </c>
      <c r="K29" s="27">
        <f t="shared" ref="K29" si="25">J29</f>
        <v>3000000</v>
      </c>
      <c r="L29" s="27">
        <f t="shared" ref="L29" si="26">K29</f>
        <v>3000000</v>
      </c>
      <c r="M29" s="27">
        <f t="shared" ref="M29" si="27">L29</f>
        <v>3000000</v>
      </c>
      <c r="N29" s="27">
        <f t="shared" ref="N29" si="28">M29</f>
        <v>3000000</v>
      </c>
      <c r="O29" s="27">
        <f t="shared" ref="O29" si="29">N29</f>
        <v>3000000</v>
      </c>
      <c r="P29" s="28">
        <f t="shared" si="16"/>
        <v>36000000</v>
      </c>
    </row>
    <row r="30" spans="2:17" x14ac:dyDescent="0.4">
      <c r="B30" s="30"/>
      <c r="C30" s="31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5"/>
    </row>
    <row r="31" spans="2:17" x14ac:dyDescent="0.4">
      <c r="B31" s="36" t="s">
        <v>49</v>
      </c>
      <c r="C31" s="37"/>
      <c r="D31" s="38">
        <f t="shared" ref="D31:P31" si="30">D3+D22</f>
        <v>20647783.492499996</v>
      </c>
      <c r="E31" s="38">
        <f t="shared" si="30"/>
        <v>22997783.492499996</v>
      </c>
      <c r="F31" s="38">
        <f t="shared" si="30"/>
        <v>20647783.492499996</v>
      </c>
      <c r="G31" s="38">
        <f t="shared" si="30"/>
        <v>22997783.492499996</v>
      </c>
      <c r="H31" s="38">
        <f t="shared" si="30"/>
        <v>20647783.492499996</v>
      </c>
      <c r="I31" s="38">
        <f t="shared" si="30"/>
        <v>22997783.492499996</v>
      </c>
      <c r="J31" s="38">
        <f t="shared" si="30"/>
        <v>20647783.492499996</v>
      </c>
      <c r="K31" s="38">
        <f t="shared" si="30"/>
        <v>22997783.492499996</v>
      </c>
      <c r="L31" s="38">
        <f t="shared" si="30"/>
        <v>20647783.492499996</v>
      </c>
      <c r="M31" s="38">
        <f t="shared" si="30"/>
        <v>22997783.492499996</v>
      </c>
      <c r="N31" s="38">
        <f t="shared" si="30"/>
        <v>20647783.492499996</v>
      </c>
      <c r="O31" s="38">
        <f t="shared" si="30"/>
        <v>22997783.492499996</v>
      </c>
      <c r="P31" s="38">
        <f t="shared" si="30"/>
        <v>261873401.90999991</v>
      </c>
    </row>
    <row r="32" spans="2:17" x14ac:dyDescent="0.4">
      <c r="B32" s="30"/>
      <c r="C32" s="31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9"/>
    </row>
    <row r="33" spans="2:16" x14ac:dyDescent="0.4">
      <c r="B33" s="20" t="s">
        <v>50</v>
      </c>
      <c r="D33" s="40"/>
      <c r="E33" s="40"/>
      <c r="F33" s="40"/>
      <c r="G33" s="40"/>
      <c r="H33" s="34"/>
      <c r="I33" s="40"/>
      <c r="J33" s="40"/>
      <c r="K33" s="40"/>
      <c r="L33" s="40"/>
      <c r="M33" s="40"/>
      <c r="N33" s="40"/>
      <c r="O33" s="40"/>
      <c r="P33" s="40"/>
    </row>
    <row r="34" spans="2:16" x14ac:dyDescent="0.4">
      <c r="B34" s="23" t="s">
        <v>30</v>
      </c>
      <c r="D34" s="35">
        <f>SUM(D35:D46)</f>
        <v>9</v>
      </c>
      <c r="E34" s="35">
        <f t="shared" ref="E34:O34" si="31">SUM(E35:E46)</f>
        <v>11</v>
      </c>
      <c r="F34" s="35">
        <f t="shared" si="31"/>
        <v>9</v>
      </c>
      <c r="G34" s="35">
        <f t="shared" si="31"/>
        <v>11</v>
      </c>
      <c r="H34" s="35">
        <f t="shared" si="31"/>
        <v>9</v>
      </c>
      <c r="I34" s="35">
        <f t="shared" si="31"/>
        <v>11</v>
      </c>
      <c r="J34" s="35">
        <f t="shared" si="31"/>
        <v>9</v>
      </c>
      <c r="K34" s="35">
        <f t="shared" si="31"/>
        <v>11</v>
      </c>
      <c r="L34" s="35">
        <f t="shared" si="31"/>
        <v>9</v>
      </c>
      <c r="M34" s="35">
        <f t="shared" si="31"/>
        <v>11</v>
      </c>
      <c r="N34" s="35">
        <f t="shared" si="31"/>
        <v>9</v>
      </c>
      <c r="O34" s="35">
        <f t="shared" si="31"/>
        <v>11</v>
      </c>
      <c r="P34" s="35">
        <f>SUM(P35:P46)</f>
        <v>120</v>
      </c>
    </row>
    <row r="35" spans="2:16" x14ac:dyDescent="0.4">
      <c r="B35" s="25" t="s">
        <v>31</v>
      </c>
      <c r="D35" s="26">
        <v>2</v>
      </c>
      <c r="E35" s="26">
        <v>2</v>
      </c>
      <c r="F35" s="26">
        <v>2</v>
      </c>
      <c r="G35" s="26">
        <v>2</v>
      </c>
      <c r="H35" s="26">
        <v>2</v>
      </c>
      <c r="I35" s="26">
        <v>2</v>
      </c>
      <c r="J35" s="26">
        <v>2</v>
      </c>
      <c r="K35" s="26">
        <v>2</v>
      </c>
      <c r="L35" s="26">
        <v>2</v>
      </c>
      <c r="M35" s="26">
        <v>2</v>
      </c>
      <c r="N35" s="26">
        <v>2</v>
      </c>
      <c r="O35" s="26">
        <v>2</v>
      </c>
      <c r="P35" s="40">
        <f t="shared" ref="P35:P50" si="32">SUM(D35:O35)</f>
        <v>24</v>
      </c>
    </row>
    <row r="36" spans="2:16" x14ac:dyDescent="0.4">
      <c r="B36" s="29" t="s">
        <v>32</v>
      </c>
      <c r="C36" s="21"/>
      <c r="D36" s="34">
        <v>3</v>
      </c>
      <c r="E36" s="34">
        <v>3</v>
      </c>
      <c r="F36" s="34">
        <v>3</v>
      </c>
      <c r="G36" s="34">
        <v>3</v>
      </c>
      <c r="H36" s="34">
        <v>3</v>
      </c>
      <c r="I36" s="34">
        <v>3</v>
      </c>
      <c r="J36" s="34">
        <v>3</v>
      </c>
      <c r="K36" s="34">
        <v>3</v>
      </c>
      <c r="L36" s="34">
        <v>3</v>
      </c>
      <c r="M36" s="34">
        <v>3</v>
      </c>
      <c r="N36" s="34">
        <v>3</v>
      </c>
      <c r="O36" s="34">
        <v>3</v>
      </c>
      <c r="P36" s="40">
        <f t="shared" si="32"/>
        <v>36</v>
      </c>
    </row>
    <row r="37" spans="2:16" x14ac:dyDescent="0.4">
      <c r="B37" s="29" t="s">
        <v>33</v>
      </c>
      <c r="C37" s="21"/>
      <c r="D37" s="34">
        <v>1</v>
      </c>
      <c r="E37" s="34">
        <v>1</v>
      </c>
      <c r="F37" s="34">
        <v>1</v>
      </c>
      <c r="G37" s="34">
        <f t="shared" ref="G37:O45" si="33">F37</f>
        <v>1</v>
      </c>
      <c r="H37" s="34">
        <f t="shared" si="33"/>
        <v>1</v>
      </c>
      <c r="I37" s="34">
        <f t="shared" si="33"/>
        <v>1</v>
      </c>
      <c r="J37" s="34">
        <f t="shared" si="33"/>
        <v>1</v>
      </c>
      <c r="K37" s="34">
        <f t="shared" si="33"/>
        <v>1</v>
      </c>
      <c r="L37" s="34">
        <f t="shared" si="33"/>
        <v>1</v>
      </c>
      <c r="M37" s="34">
        <f t="shared" si="33"/>
        <v>1</v>
      </c>
      <c r="N37" s="34">
        <f t="shared" si="33"/>
        <v>1</v>
      </c>
      <c r="O37" s="34">
        <f t="shared" si="33"/>
        <v>1</v>
      </c>
      <c r="P37" s="40">
        <f t="shared" si="32"/>
        <v>12</v>
      </c>
    </row>
    <row r="38" spans="2:16" x14ac:dyDescent="0.4">
      <c r="B38" s="29" t="s">
        <v>34</v>
      </c>
      <c r="C38" s="21"/>
      <c r="D38" s="34">
        <v>1</v>
      </c>
      <c r="E38" s="34">
        <v>1</v>
      </c>
      <c r="F38" s="34">
        <v>1</v>
      </c>
      <c r="G38" s="34">
        <f t="shared" si="33"/>
        <v>1</v>
      </c>
      <c r="H38" s="34">
        <f t="shared" si="33"/>
        <v>1</v>
      </c>
      <c r="I38" s="34">
        <f t="shared" si="33"/>
        <v>1</v>
      </c>
      <c r="J38" s="34">
        <f t="shared" si="33"/>
        <v>1</v>
      </c>
      <c r="K38" s="34">
        <f t="shared" si="33"/>
        <v>1</v>
      </c>
      <c r="L38" s="34">
        <f t="shared" si="33"/>
        <v>1</v>
      </c>
      <c r="M38" s="34">
        <f t="shared" si="33"/>
        <v>1</v>
      </c>
      <c r="N38" s="34">
        <f t="shared" si="33"/>
        <v>1</v>
      </c>
      <c r="O38" s="34">
        <f t="shared" si="33"/>
        <v>1</v>
      </c>
      <c r="P38" s="40">
        <f t="shared" si="32"/>
        <v>12</v>
      </c>
    </row>
    <row r="39" spans="2:16" x14ac:dyDescent="0.4">
      <c r="B39" s="83" t="s">
        <v>118</v>
      </c>
      <c r="C39" s="21"/>
      <c r="D39" s="89">
        <v>0</v>
      </c>
      <c r="E39" s="89">
        <v>0</v>
      </c>
      <c r="F39" s="89">
        <v>0</v>
      </c>
      <c r="G39" s="89">
        <v>0</v>
      </c>
      <c r="H39" s="89">
        <v>0</v>
      </c>
      <c r="I39" s="89">
        <v>0</v>
      </c>
      <c r="J39" s="89">
        <v>0</v>
      </c>
      <c r="K39" s="89">
        <v>0</v>
      </c>
      <c r="L39" s="89">
        <v>0</v>
      </c>
      <c r="M39" s="89">
        <v>0</v>
      </c>
      <c r="N39" s="89">
        <v>0</v>
      </c>
      <c r="O39" s="89">
        <v>0</v>
      </c>
      <c r="P39" s="40">
        <f t="shared" si="32"/>
        <v>0</v>
      </c>
    </row>
    <row r="40" spans="2:16" x14ac:dyDescent="0.4">
      <c r="B40" s="83" t="s">
        <v>119</v>
      </c>
      <c r="C40" s="21"/>
      <c r="D40" s="89">
        <v>0</v>
      </c>
      <c r="E40" s="89">
        <v>0</v>
      </c>
      <c r="F40" s="89">
        <v>0</v>
      </c>
      <c r="G40" s="89">
        <v>0</v>
      </c>
      <c r="H40" s="89">
        <v>0</v>
      </c>
      <c r="I40" s="89">
        <v>0</v>
      </c>
      <c r="J40" s="89">
        <v>0</v>
      </c>
      <c r="K40" s="89">
        <v>0</v>
      </c>
      <c r="L40" s="89">
        <v>0</v>
      </c>
      <c r="M40" s="89">
        <v>0</v>
      </c>
      <c r="N40" s="89">
        <v>0</v>
      </c>
      <c r="O40" s="89">
        <v>0</v>
      </c>
      <c r="P40" s="40">
        <f t="shared" si="32"/>
        <v>0</v>
      </c>
    </row>
    <row r="41" spans="2:16" x14ac:dyDescent="0.4">
      <c r="B41" s="83" t="s">
        <v>120</v>
      </c>
      <c r="C41" s="21"/>
      <c r="D41" s="89">
        <v>0</v>
      </c>
      <c r="E41" s="89">
        <v>0</v>
      </c>
      <c r="F41" s="89">
        <v>0</v>
      </c>
      <c r="G41" s="89">
        <v>0</v>
      </c>
      <c r="H41" s="89">
        <v>0</v>
      </c>
      <c r="I41" s="89">
        <v>0</v>
      </c>
      <c r="J41" s="89">
        <v>0</v>
      </c>
      <c r="K41" s="89">
        <v>0</v>
      </c>
      <c r="L41" s="89">
        <v>0</v>
      </c>
      <c r="M41" s="89">
        <v>0</v>
      </c>
      <c r="N41" s="89">
        <v>0</v>
      </c>
      <c r="O41" s="89">
        <v>0</v>
      </c>
      <c r="P41" s="40">
        <f t="shared" si="32"/>
        <v>0</v>
      </c>
    </row>
    <row r="42" spans="2:16" x14ac:dyDescent="0.4">
      <c r="B42" s="83" t="s">
        <v>121</v>
      </c>
      <c r="C42" s="21"/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  <c r="P42" s="40">
        <f t="shared" si="32"/>
        <v>0</v>
      </c>
    </row>
    <row r="43" spans="2:16" x14ac:dyDescent="0.4">
      <c r="B43" s="25" t="s">
        <v>35</v>
      </c>
      <c r="C43" s="21"/>
      <c r="D43" s="34">
        <v>0</v>
      </c>
      <c r="E43" s="34">
        <v>1</v>
      </c>
      <c r="F43" s="34">
        <v>0</v>
      </c>
      <c r="G43" s="34">
        <v>1</v>
      </c>
      <c r="H43" s="34">
        <v>0</v>
      </c>
      <c r="I43" s="34">
        <v>1</v>
      </c>
      <c r="J43" s="34">
        <v>0</v>
      </c>
      <c r="K43" s="34">
        <v>1</v>
      </c>
      <c r="L43" s="34">
        <v>0</v>
      </c>
      <c r="M43" s="34">
        <v>1</v>
      </c>
      <c r="N43" s="34">
        <v>0</v>
      </c>
      <c r="O43" s="34">
        <v>1</v>
      </c>
      <c r="P43" s="40">
        <f t="shared" si="32"/>
        <v>6</v>
      </c>
    </row>
    <row r="44" spans="2:16" x14ac:dyDescent="0.4">
      <c r="B44" s="29" t="s">
        <v>36</v>
      </c>
      <c r="C44" s="21"/>
      <c r="D44" s="34">
        <v>1</v>
      </c>
      <c r="E44" s="34">
        <v>1</v>
      </c>
      <c r="F44" s="34">
        <v>1</v>
      </c>
      <c r="G44" s="34">
        <v>1</v>
      </c>
      <c r="H44" s="34">
        <v>1</v>
      </c>
      <c r="I44" s="34">
        <v>1</v>
      </c>
      <c r="J44" s="34">
        <v>1</v>
      </c>
      <c r="K44" s="34">
        <v>1</v>
      </c>
      <c r="L44" s="34">
        <v>1</v>
      </c>
      <c r="M44" s="34">
        <v>1</v>
      </c>
      <c r="N44" s="34">
        <v>1</v>
      </c>
      <c r="O44" s="34">
        <v>1</v>
      </c>
      <c r="P44" s="40">
        <f t="shared" si="32"/>
        <v>12</v>
      </c>
    </row>
    <row r="45" spans="2:16" x14ac:dyDescent="0.4">
      <c r="B45" s="29" t="s">
        <v>37</v>
      </c>
      <c r="C45" s="21"/>
      <c r="D45" s="34">
        <v>1</v>
      </c>
      <c r="E45" s="34">
        <v>1</v>
      </c>
      <c r="F45" s="34">
        <v>1</v>
      </c>
      <c r="G45" s="34">
        <f t="shared" si="33"/>
        <v>1</v>
      </c>
      <c r="H45" s="34">
        <f t="shared" si="33"/>
        <v>1</v>
      </c>
      <c r="I45" s="34">
        <f t="shared" si="33"/>
        <v>1</v>
      </c>
      <c r="J45" s="34">
        <f t="shared" si="33"/>
        <v>1</v>
      </c>
      <c r="K45" s="34">
        <f t="shared" si="33"/>
        <v>1</v>
      </c>
      <c r="L45" s="34">
        <f t="shared" si="33"/>
        <v>1</v>
      </c>
      <c r="M45" s="34">
        <f t="shared" si="33"/>
        <v>1</v>
      </c>
      <c r="N45" s="34">
        <f t="shared" si="33"/>
        <v>1</v>
      </c>
      <c r="O45" s="34">
        <f t="shared" si="33"/>
        <v>1</v>
      </c>
      <c r="P45" s="40">
        <f t="shared" si="32"/>
        <v>12</v>
      </c>
    </row>
    <row r="46" spans="2:16" x14ac:dyDescent="0.4">
      <c r="B46" s="29" t="s">
        <v>51</v>
      </c>
      <c r="C46" s="21"/>
      <c r="D46" s="34">
        <v>0</v>
      </c>
      <c r="E46" s="34">
        <v>1</v>
      </c>
      <c r="F46" s="34">
        <v>0</v>
      </c>
      <c r="G46" s="34">
        <v>1</v>
      </c>
      <c r="H46" s="34">
        <v>0</v>
      </c>
      <c r="I46" s="34">
        <v>1</v>
      </c>
      <c r="J46" s="34">
        <v>0</v>
      </c>
      <c r="K46" s="34">
        <v>1</v>
      </c>
      <c r="L46" s="34">
        <v>0</v>
      </c>
      <c r="M46" s="34">
        <v>1</v>
      </c>
      <c r="N46" s="34">
        <v>0</v>
      </c>
      <c r="O46" s="34">
        <v>1</v>
      </c>
      <c r="P46" s="40">
        <f t="shared" si="32"/>
        <v>6</v>
      </c>
    </row>
    <row r="47" spans="2:16" x14ac:dyDescent="0.4">
      <c r="B47" s="83" t="s">
        <v>122</v>
      </c>
      <c r="C47" s="21"/>
      <c r="D47" s="89">
        <v>0</v>
      </c>
      <c r="E47" s="89">
        <v>0</v>
      </c>
      <c r="F47" s="89">
        <v>0</v>
      </c>
      <c r="G47" s="89">
        <v>0</v>
      </c>
      <c r="H47" s="89">
        <v>0</v>
      </c>
      <c r="I47" s="89">
        <v>0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40">
        <f t="shared" si="32"/>
        <v>0</v>
      </c>
    </row>
    <row r="48" spans="2:16" x14ac:dyDescent="0.4">
      <c r="B48" s="83" t="s">
        <v>123</v>
      </c>
      <c r="C48" s="21"/>
      <c r="D48" s="89">
        <v>0</v>
      </c>
      <c r="E48" s="89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40">
        <f t="shared" si="32"/>
        <v>0</v>
      </c>
    </row>
    <row r="49" spans="2:17" x14ac:dyDescent="0.4">
      <c r="B49" s="83" t="s">
        <v>124</v>
      </c>
      <c r="C49" s="21"/>
      <c r="D49" s="89">
        <v>0</v>
      </c>
      <c r="E49" s="89">
        <v>0</v>
      </c>
      <c r="F49" s="89">
        <v>0</v>
      </c>
      <c r="G49" s="89">
        <v>0</v>
      </c>
      <c r="H49" s="89">
        <v>0</v>
      </c>
      <c r="I49" s="89">
        <v>0</v>
      </c>
      <c r="J49" s="89">
        <v>0</v>
      </c>
      <c r="K49" s="89">
        <v>0</v>
      </c>
      <c r="L49" s="89">
        <v>0</v>
      </c>
      <c r="M49" s="89">
        <v>0</v>
      </c>
      <c r="N49" s="89">
        <v>0</v>
      </c>
      <c r="O49" s="89">
        <v>0</v>
      </c>
      <c r="P49" s="40">
        <f t="shared" si="32"/>
        <v>0</v>
      </c>
    </row>
    <row r="50" spans="2:17" x14ac:dyDescent="0.4">
      <c r="B50" s="83" t="s">
        <v>125</v>
      </c>
      <c r="C50" s="21"/>
      <c r="D50" s="89">
        <v>0</v>
      </c>
      <c r="E50" s="89">
        <v>0</v>
      </c>
      <c r="F50" s="89">
        <v>0</v>
      </c>
      <c r="G50" s="89">
        <v>0</v>
      </c>
      <c r="H50" s="89">
        <v>0</v>
      </c>
      <c r="I50" s="89">
        <v>0</v>
      </c>
      <c r="J50" s="89">
        <v>0</v>
      </c>
      <c r="K50" s="89">
        <v>0</v>
      </c>
      <c r="L50" s="89">
        <v>0</v>
      </c>
      <c r="M50" s="89">
        <v>0</v>
      </c>
      <c r="N50" s="89">
        <v>0</v>
      </c>
      <c r="O50" s="89">
        <v>0</v>
      </c>
      <c r="P50" s="40">
        <f t="shared" si="32"/>
        <v>0</v>
      </c>
    </row>
    <row r="51" spans="2:17" x14ac:dyDescent="0.4">
      <c r="C51" s="21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40"/>
    </row>
    <row r="52" spans="2:17" x14ac:dyDescent="0.4">
      <c r="B52" s="23" t="s">
        <v>39</v>
      </c>
      <c r="C52" s="41"/>
      <c r="D52" s="35">
        <f>SUM(D53:D56)</f>
        <v>4</v>
      </c>
      <c r="E52" s="35">
        <f t="shared" ref="E52:O52" si="34">SUM(E53:E56)</f>
        <v>4</v>
      </c>
      <c r="F52" s="35">
        <f t="shared" si="34"/>
        <v>4</v>
      </c>
      <c r="G52" s="35">
        <f t="shared" si="34"/>
        <v>4</v>
      </c>
      <c r="H52" s="35">
        <f t="shared" si="34"/>
        <v>4</v>
      </c>
      <c r="I52" s="35">
        <f t="shared" si="34"/>
        <v>4</v>
      </c>
      <c r="J52" s="35">
        <f t="shared" si="34"/>
        <v>4</v>
      </c>
      <c r="K52" s="35">
        <f t="shared" si="34"/>
        <v>4</v>
      </c>
      <c r="L52" s="35">
        <f t="shared" si="34"/>
        <v>4</v>
      </c>
      <c r="M52" s="35">
        <f t="shared" si="34"/>
        <v>4</v>
      </c>
      <c r="N52" s="35">
        <f t="shared" si="34"/>
        <v>4</v>
      </c>
      <c r="O52" s="35">
        <f t="shared" si="34"/>
        <v>4</v>
      </c>
      <c r="P52" s="35">
        <f>SUM(P53:P56)</f>
        <v>48</v>
      </c>
    </row>
    <row r="53" spans="2:17" x14ac:dyDescent="0.4">
      <c r="B53" s="32" t="s">
        <v>112</v>
      </c>
      <c r="D53" s="34">
        <v>1</v>
      </c>
      <c r="E53" s="34">
        <f t="shared" ref="E53:O56" si="35">D53</f>
        <v>1</v>
      </c>
      <c r="F53" s="34">
        <f t="shared" si="35"/>
        <v>1</v>
      </c>
      <c r="G53" s="34">
        <f t="shared" si="35"/>
        <v>1</v>
      </c>
      <c r="H53" s="34">
        <f t="shared" si="35"/>
        <v>1</v>
      </c>
      <c r="I53" s="34">
        <f t="shared" si="35"/>
        <v>1</v>
      </c>
      <c r="J53" s="34">
        <f t="shared" si="35"/>
        <v>1</v>
      </c>
      <c r="K53" s="34">
        <f t="shared" si="35"/>
        <v>1</v>
      </c>
      <c r="L53" s="34">
        <f t="shared" si="35"/>
        <v>1</v>
      </c>
      <c r="M53" s="34">
        <f t="shared" si="35"/>
        <v>1</v>
      </c>
      <c r="N53" s="34">
        <f t="shared" si="35"/>
        <v>1</v>
      </c>
      <c r="O53" s="34">
        <f t="shared" si="35"/>
        <v>1</v>
      </c>
      <c r="P53" s="40">
        <f>SUM(D53:O53)</f>
        <v>12</v>
      </c>
      <c r="Q53" s="19" t="s">
        <v>52</v>
      </c>
    </row>
    <row r="54" spans="2:17" x14ac:dyDescent="0.4">
      <c r="B54" s="32" t="s">
        <v>113</v>
      </c>
      <c r="D54" s="34">
        <v>1</v>
      </c>
      <c r="E54" s="34">
        <f t="shared" si="35"/>
        <v>1</v>
      </c>
      <c r="F54" s="34">
        <f t="shared" si="35"/>
        <v>1</v>
      </c>
      <c r="G54" s="34">
        <f t="shared" si="35"/>
        <v>1</v>
      </c>
      <c r="H54" s="34">
        <f t="shared" si="35"/>
        <v>1</v>
      </c>
      <c r="I54" s="34">
        <f t="shared" si="35"/>
        <v>1</v>
      </c>
      <c r="J54" s="34">
        <f t="shared" si="35"/>
        <v>1</v>
      </c>
      <c r="K54" s="34">
        <f t="shared" si="35"/>
        <v>1</v>
      </c>
      <c r="L54" s="34">
        <f t="shared" si="35"/>
        <v>1</v>
      </c>
      <c r="M54" s="34">
        <f t="shared" si="35"/>
        <v>1</v>
      </c>
      <c r="N54" s="34">
        <f t="shared" si="35"/>
        <v>1</v>
      </c>
      <c r="O54" s="34">
        <f t="shared" si="35"/>
        <v>1</v>
      </c>
      <c r="P54" s="40">
        <f>SUM(D54:O54)</f>
        <v>12</v>
      </c>
      <c r="Q54" s="19" t="s">
        <v>52</v>
      </c>
    </row>
    <row r="55" spans="2:17" x14ac:dyDescent="0.4">
      <c r="B55" s="33" t="s">
        <v>114</v>
      </c>
      <c r="D55" s="34">
        <v>1</v>
      </c>
      <c r="E55" s="34">
        <f t="shared" si="35"/>
        <v>1</v>
      </c>
      <c r="F55" s="34">
        <f t="shared" si="35"/>
        <v>1</v>
      </c>
      <c r="G55" s="34">
        <f t="shared" si="35"/>
        <v>1</v>
      </c>
      <c r="H55" s="34">
        <f t="shared" si="35"/>
        <v>1</v>
      </c>
      <c r="I55" s="34">
        <f t="shared" si="35"/>
        <v>1</v>
      </c>
      <c r="J55" s="34">
        <f t="shared" si="35"/>
        <v>1</v>
      </c>
      <c r="K55" s="34">
        <f t="shared" si="35"/>
        <v>1</v>
      </c>
      <c r="L55" s="34">
        <f t="shared" si="35"/>
        <v>1</v>
      </c>
      <c r="M55" s="34">
        <f t="shared" si="35"/>
        <v>1</v>
      </c>
      <c r="N55" s="34">
        <f t="shared" si="35"/>
        <v>1</v>
      </c>
      <c r="O55" s="34">
        <f t="shared" si="35"/>
        <v>1</v>
      </c>
      <c r="P55" s="40">
        <f>SUM(D55:O55)</f>
        <v>12</v>
      </c>
      <c r="Q55" s="19" t="s">
        <v>52</v>
      </c>
    </row>
    <row r="56" spans="2:17" x14ac:dyDescent="0.4">
      <c r="B56" s="33" t="s">
        <v>115</v>
      </c>
      <c r="C56" s="41"/>
      <c r="D56" s="34">
        <v>1</v>
      </c>
      <c r="E56" s="34">
        <f>D56</f>
        <v>1</v>
      </c>
      <c r="F56" s="34">
        <f t="shared" si="35"/>
        <v>1</v>
      </c>
      <c r="G56" s="34">
        <f t="shared" si="35"/>
        <v>1</v>
      </c>
      <c r="H56" s="34">
        <f t="shared" si="35"/>
        <v>1</v>
      </c>
      <c r="I56" s="34">
        <f t="shared" si="35"/>
        <v>1</v>
      </c>
      <c r="J56" s="34">
        <f t="shared" si="35"/>
        <v>1</v>
      </c>
      <c r="K56" s="34">
        <f t="shared" si="35"/>
        <v>1</v>
      </c>
      <c r="L56" s="34">
        <f t="shared" si="35"/>
        <v>1</v>
      </c>
      <c r="M56" s="34">
        <f t="shared" si="35"/>
        <v>1</v>
      </c>
      <c r="N56" s="34">
        <f t="shared" si="35"/>
        <v>1</v>
      </c>
      <c r="O56" s="34">
        <f t="shared" si="35"/>
        <v>1</v>
      </c>
      <c r="P56" s="40">
        <f>SUM(D56:O56)</f>
        <v>12</v>
      </c>
      <c r="Q56" s="19" t="s">
        <v>52</v>
      </c>
    </row>
    <row r="57" spans="2:17" x14ac:dyDescent="0.4">
      <c r="B57" s="29" t="s">
        <v>116</v>
      </c>
      <c r="C57" s="41"/>
      <c r="D57" s="34">
        <f>7000*0</f>
        <v>0</v>
      </c>
      <c r="E57" s="34">
        <f t="shared" ref="E57:O57" si="36">7000*0</f>
        <v>0</v>
      </c>
      <c r="F57" s="34">
        <f t="shared" si="36"/>
        <v>0</v>
      </c>
      <c r="G57" s="34">
        <f t="shared" si="36"/>
        <v>0</v>
      </c>
      <c r="H57" s="34">
        <f t="shared" si="36"/>
        <v>0</v>
      </c>
      <c r="I57" s="34">
        <f t="shared" si="36"/>
        <v>0</v>
      </c>
      <c r="J57" s="34">
        <f t="shared" si="36"/>
        <v>0</v>
      </c>
      <c r="K57" s="34">
        <f t="shared" si="36"/>
        <v>0</v>
      </c>
      <c r="L57" s="34">
        <f t="shared" si="36"/>
        <v>0</v>
      </c>
      <c r="M57" s="34">
        <f t="shared" si="36"/>
        <v>0</v>
      </c>
      <c r="N57" s="34">
        <f t="shared" si="36"/>
        <v>0</v>
      </c>
      <c r="O57" s="34">
        <f t="shared" si="36"/>
        <v>0</v>
      </c>
      <c r="P57" s="40">
        <f t="shared" ref="P57:P59" si="37">SUM(D57:O57)</f>
        <v>0</v>
      </c>
    </row>
    <row r="58" spans="2:17" x14ac:dyDescent="0.4">
      <c r="B58" s="29" t="s">
        <v>117</v>
      </c>
      <c r="C58" s="41"/>
      <c r="D58" s="34">
        <f>2200*0</f>
        <v>0</v>
      </c>
      <c r="E58" s="34">
        <f>D58</f>
        <v>0</v>
      </c>
      <c r="F58" s="34">
        <f t="shared" ref="F58:O58" si="38">E58</f>
        <v>0</v>
      </c>
      <c r="G58" s="34">
        <f t="shared" si="38"/>
        <v>0</v>
      </c>
      <c r="H58" s="34">
        <f t="shared" si="38"/>
        <v>0</v>
      </c>
      <c r="I58" s="34">
        <f t="shared" si="38"/>
        <v>0</v>
      </c>
      <c r="J58" s="34">
        <f t="shared" si="38"/>
        <v>0</v>
      </c>
      <c r="K58" s="34">
        <f t="shared" si="38"/>
        <v>0</v>
      </c>
      <c r="L58" s="34">
        <f t="shared" si="38"/>
        <v>0</v>
      </c>
      <c r="M58" s="34">
        <f t="shared" si="38"/>
        <v>0</v>
      </c>
      <c r="N58" s="34">
        <f t="shared" si="38"/>
        <v>0</v>
      </c>
      <c r="O58" s="34">
        <f t="shared" si="38"/>
        <v>0</v>
      </c>
      <c r="P58" s="40">
        <f t="shared" si="37"/>
        <v>0</v>
      </c>
    </row>
    <row r="59" spans="2:17" x14ac:dyDescent="0.4">
      <c r="B59" s="33" t="s">
        <v>111</v>
      </c>
      <c r="C59" s="41"/>
      <c r="D59" s="34">
        <v>1</v>
      </c>
      <c r="E59" s="34">
        <f>D59</f>
        <v>1</v>
      </c>
      <c r="F59" s="34">
        <f t="shared" ref="F59" si="39">E59</f>
        <v>1</v>
      </c>
      <c r="G59" s="34">
        <f t="shared" ref="G59" si="40">F59</f>
        <v>1</v>
      </c>
      <c r="H59" s="34">
        <f t="shared" ref="H59" si="41">G59</f>
        <v>1</v>
      </c>
      <c r="I59" s="34">
        <f t="shared" ref="I59" si="42">H59</f>
        <v>1</v>
      </c>
      <c r="J59" s="34">
        <f t="shared" ref="J59" si="43">I59</f>
        <v>1</v>
      </c>
      <c r="K59" s="34">
        <f t="shared" ref="K59" si="44">J59</f>
        <v>1</v>
      </c>
      <c r="L59" s="34">
        <f t="shared" ref="L59" si="45">K59</f>
        <v>1</v>
      </c>
      <c r="M59" s="34">
        <f t="shared" ref="M59" si="46">L59</f>
        <v>1</v>
      </c>
      <c r="N59" s="34">
        <f t="shared" ref="N59" si="47">M59</f>
        <v>1</v>
      </c>
      <c r="O59" s="34">
        <f t="shared" ref="O59" si="48">N59</f>
        <v>1</v>
      </c>
      <c r="P59" s="40">
        <f t="shared" si="37"/>
        <v>12</v>
      </c>
    </row>
    <row r="60" spans="2:17" x14ac:dyDescent="0.4">
      <c r="B60" s="30"/>
      <c r="C60" s="41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</row>
    <row r="61" spans="2:17" x14ac:dyDescent="0.4">
      <c r="B61" s="20" t="s">
        <v>54</v>
      </c>
      <c r="C61" s="21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</row>
    <row r="62" spans="2:17" x14ac:dyDescent="0.4">
      <c r="B62" s="23" t="s">
        <v>30</v>
      </c>
      <c r="C62" s="21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0"/>
    </row>
    <row r="63" spans="2:17" x14ac:dyDescent="0.4">
      <c r="B63" s="25" t="s">
        <v>31</v>
      </c>
      <c r="D63" s="27">
        <v>765000</v>
      </c>
      <c r="E63" s="27">
        <f>D63</f>
        <v>765000</v>
      </c>
      <c r="F63" s="27">
        <f t="shared" ref="F63:O63" si="49">E63</f>
        <v>765000</v>
      </c>
      <c r="G63" s="27">
        <f t="shared" si="49"/>
        <v>765000</v>
      </c>
      <c r="H63" s="27">
        <f t="shared" si="49"/>
        <v>765000</v>
      </c>
      <c r="I63" s="27">
        <f t="shared" si="49"/>
        <v>765000</v>
      </c>
      <c r="J63" s="27">
        <f t="shared" si="49"/>
        <v>765000</v>
      </c>
      <c r="K63" s="27">
        <f t="shared" si="49"/>
        <v>765000</v>
      </c>
      <c r="L63" s="27">
        <f t="shared" si="49"/>
        <v>765000</v>
      </c>
      <c r="M63" s="27">
        <f t="shared" si="49"/>
        <v>765000</v>
      </c>
      <c r="N63" s="27">
        <f t="shared" si="49"/>
        <v>765000</v>
      </c>
      <c r="O63" s="27">
        <f t="shared" si="49"/>
        <v>765000</v>
      </c>
      <c r="P63" s="40"/>
    </row>
    <row r="64" spans="2:17" x14ac:dyDescent="0.4">
      <c r="B64" s="29" t="s">
        <v>32</v>
      </c>
      <c r="C64" s="21"/>
      <c r="D64" s="27">
        <v>450000</v>
      </c>
      <c r="E64" s="27">
        <f t="shared" ref="E64:O74" si="50">D64</f>
        <v>450000</v>
      </c>
      <c r="F64" s="27">
        <f t="shared" si="50"/>
        <v>450000</v>
      </c>
      <c r="G64" s="27">
        <f t="shared" si="50"/>
        <v>450000</v>
      </c>
      <c r="H64" s="27">
        <f t="shared" si="50"/>
        <v>450000</v>
      </c>
      <c r="I64" s="27">
        <f t="shared" si="50"/>
        <v>450000</v>
      </c>
      <c r="J64" s="27">
        <f t="shared" si="50"/>
        <v>450000</v>
      </c>
      <c r="K64" s="27">
        <f t="shared" si="50"/>
        <v>450000</v>
      </c>
      <c r="L64" s="27">
        <f t="shared" si="50"/>
        <v>450000</v>
      </c>
      <c r="M64" s="27">
        <f t="shared" si="50"/>
        <v>450000</v>
      </c>
      <c r="N64" s="27">
        <f t="shared" si="50"/>
        <v>450000</v>
      </c>
      <c r="O64" s="27">
        <f t="shared" si="50"/>
        <v>450000</v>
      </c>
      <c r="P64" s="40"/>
      <c r="Q64" s="19" t="s">
        <v>55</v>
      </c>
    </row>
    <row r="65" spans="2:16" x14ac:dyDescent="0.4">
      <c r="B65" s="29" t="s">
        <v>33</v>
      </c>
      <c r="C65" s="21"/>
      <c r="D65" s="27">
        <v>380000</v>
      </c>
      <c r="E65" s="27">
        <f t="shared" si="50"/>
        <v>380000</v>
      </c>
      <c r="F65" s="27">
        <f t="shared" si="50"/>
        <v>380000</v>
      </c>
      <c r="G65" s="27">
        <f t="shared" si="50"/>
        <v>380000</v>
      </c>
      <c r="H65" s="27">
        <f t="shared" si="50"/>
        <v>380000</v>
      </c>
      <c r="I65" s="27">
        <f t="shared" si="50"/>
        <v>380000</v>
      </c>
      <c r="J65" s="27">
        <f t="shared" si="50"/>
        <v>380000</v>
      </c>
      <c r="K65" s="27">
        <f t="shared" si="50"/>
        <v>380000</v>
      </c>
      <c r="L65" s="27">
        <f t="shared" si="50"/>
        <v>380000</v>
      </c>
      <c r="M65" s="27">
        <f t="shared" si="50"/>
        <v>380000</v>
      </c>
      <c r="N65" s="27">
        <f t="shared" si="50"/>
        <v>380000</v>
      </c>
      <c r="O65" s="27">
        <f t="shared" si="50"/>
        <v>380000</v>
      </c>
      <c r="P65" s="40"/>
    </row>
    <row r="66" spans="2:16" x14ac:dyDescent="0.4">
      <c r="B66" s="29" t="s">
        <v>34</v>
      </c>
      <c r="C66" s="21"/>
      <c r="D66" s="27">
        <v>450000</v>
      </c>
      <c r="E66" s="27">
        <f t="shared" si="50"/>
        <v>450000</v>
      </c>
      <c r="F66" s="27">
        <f t="shared" si="50"/>
        <v>450000</v>
      </c>
      <c r="G66" s="27">
        <f t="shared" si="50"/>
        <v>450000</v>
      </c>
      <c r="H66" s="27">
        <f t="shared" si="50"/>
        <v>450000</v>
      </c>
      <c r="I66" s="27">
        <f t="shared" si="50"/>
        <v>450000</v>
      </c>
      <c r="J66" s="27">
        <f t="shared" si="50"/>
        <v>450000</v>
      </c>
      <c r="K66" s="27">
        <f t="shared" si="50"/>
        <v>450000</v>
      </c>
      <c r="L66" s="27">
        <f t="shared" si="50"/>
        <v>450000</v>
      </c>
      <c r="M66" s="27">
        <f t="shared" si="50"/>
        <v>450000</v>
      </c>
      <c r="N66" s="27">
        <f t="shared" si="50"/>
        <v>450000</v>
      </c>
      <c r="O66" s="27">
        <f t="shared" si="50"/>
        <v>450000</v>
      </c>
      <c r="P66" s="40"/>
    </row>
    <row r="67" spans="2:16" x14ac:dyDescent="0.4">
      <c r="B67" s="83" t="s">
        <v>118</v>
      </c>
      <c r="C67" s="21"/>
      <c r="D67" s="86">
        <v>0</v>
      </c>
      <c r="E67" s="86">
        <v>0</v>
      </c>
      <c r="F67" s="86">
        <v>0</v>
      </c>
      <c r="G67" s="86">
        <v>0</v>
      </c>
      <c r="H67" s="86">
        <v>0</v>
      </c>
      <c r="I67" s="86">
        <v>0</v>
      </c>
      <c r="J67" s="86">
        <v>0</v>
      </c>
      <c r="K67" s="86">
        <v>0</v>
      </c>
      <c r="L67" s="86">
        <v>0</v>
      </c>
      <c r="M67" s="86">
        <v>0</v>
      </c>
      <c r="N67" s="86">
        <v>0</v>
      </c>
      <c r="O67" s="86">
        <v>0</v>
      </c>
      <c r="P67" s="40"/>
    </row>
    <row r="68" spans="2:16" x14ac:dyDescent="0.4">
      <c r="B68" s="83" t="s">
        <v>119</v>
      </c>
      <c r="C68" s="21"/>
      <c r="D68" s="86">
        <v>0</v>
      </c>
      <c r="E68" s="86">
        <v>0</v>
      </c>
      <c r="F68" s="86">
        <v>0</v>
      </c>
      <c r="G68" s="86">
        <v>0</v>
      </c>
      <c r="H68" s="86">
        <v>0</v>
      </c>
      <c r="I68" s="86">
        <v>0</v>
      </c>
      <c r="J68" s="86">
        <v>0</v>
      </c>
      <c r="K68" s="86">
        <v>0</v>
      </c>
      <c r="L68" s="86">
        <v>0</v>
      </c>
      <c r="M68" s="86">
        <v>0</v>
      </c>
      <c r="N68" s="86">
        <v>0</v>
      </c>
      <c r="O68" s="86">
        <v>0</v>
      </c>
      <c r="P68" s="40"/>
    </row>
    <row r="69" spans="2:16" x14ac:dyDescent="0.4">
      <c r="B69" s="83" t="s">
        <v>120</v>
      </c>
      <c r="C69" s="21"/>
      <c r="D69" s="86">
        <v>0</v>
      </c>
      <c r="E69" s="86">
        <v>0</v>
      </c>
      <c r="F69" s="86">
        <v>0</v>
      </c>
      <c r="G69" s="86">
        <v>0</v>
      </c>
      <c r="H69" s="86">
        <v>0</v>
      </c>
      <c r="I69" s="86">
        <v>0</v>
      </c>
      <c r="J69" s="86">
        <v>0</v>
      </c>
      <c r="K69" s="86">
        <v>0</v>
      </c>
      <c r="L69" s="86">
        <v>0</v>
      </c>
      <c r="M69" s="86">
        <v>0</v>
      </c>
      <c r="N69" s="86">
        <v>0</v>
      </c>
      <c r="O69" s="86">
        <v>0</v>
      </c>
      <c r="P69" s="40"/>
    </row>
    <row r="70" spans="2:16" x14ac:dyDescent="0.4">
      <c r="B70" s="83" t="s">
        <v>121</v>
      </c>
      <c r="C70" s="21"/>
      <c r="D70" s="86">
        <v>0</v>
      </c>
      <c r="E70" s="86">
        <v>0</v>
      </c>
      <c r="F70" s="86">
        <v>0</v>
      </c>
      <c r="G70" s="86">
        <v>0</v>
      </c>
      <c r="H70" s="86">
        <v>0</v>
      </c>
      <c r="I70" s="86">
        <v>0</v>
      </c>
      <c r="J70" s="86">
        <v>0</v>
      </c>
      <c r="K70" s="86">
        <v>0</v>
      </c>
      <c r="L70" s="86">
        <v>0</v>
      </c>
      <c r="M70" s="86">
        <v>0</v>
      </c>
      <c r="N70" s="86">
        <v>0</v>
      </c>
      <c r="O70" s="86">
        <v>0</v>
      </c>
      <c r="P70" s="40"/>
    </row>
    <row r="71" spans="2:16" x14ac:dyDescent="0.4">
      <c r="B71" s="25" t="s">
        <v>35</v>
      </c>
      <c r="C71" s="21"/>
      <c r="D71" s="27">
        <v>1500000</v>
      </c>
      <c r="E71" s="27">
        <f t="shared" si="50"/>
        <v>1500000</v>
      </c>
      <c r="F71" s="27">
        <f t="shared" si="50"/>
        <v>1500000</v>
      </c>
      <c r="G71" s="27">
        <f t="shared" si="50"/>
        <v>1500000</v>
      </c>
      <c r="H71" s="27">
        <f t="shared" si="50"/>
        <v>1500000</v>
      </c>
      <c r="I71" s="27">
        <f t="shared" si="50"/>
        <v>1500000</v>
      </c>
      <c r="J71" s="27">
        <f t="shared" si="50"/>
        <v>1500000</v>
      </c>
      <c r="K71" s="27">
        <f t="shared" si="50"/>
        <v>1500000</v>
      </c>
      <c r="L71" s="27">
        <f t="shared" si="50"/>
        <v>1500000</v>
      </c>
      <c r="M71" s="27">
        <f t="shared" si="50"/>
        <v>1500000</v>
      </c>
      <c r="N71" s="27">
        <f t="shared" si="50"/>
        <v>1500000</v>
      </c>
      <c r="O71" s="27">
        <f t="shared" si="50"/>
        <v>1500000</v>
      </c>
      <c r="P71" s="40"/>
    </row>
    <row r="72" spans="2:16" x14ac:dyDescent="0.4">
      <c r="B72" s="29" t="s">
        <v>36</v>
      </c>
      <c r="C72" s="21"/>
      <c r="D72" s="27">
        <v>850000</v>
      </c>
      <c r="E72" s="27">
        <f t="shared" si="50"/>
        <v>850000</v>
      </c>
      <c r="F72" s="27">
        <f t="shared" si="50"/>
        <v>850000</v>
      </c>
      <c r="G72" s="27">
        <f t="shared" si="50"/>
        <v>850000</v>
      </c>
      <c r="H72" s="27">
        <f t="shared" si="50"/>
        <v>850000</v>
      </c>
      <c r="I72" s="27">
        <f t="shared" si="50"/>
        <v>850000</v>
      </c>
      <c r="J72" s="27">
        <f t="shared" si="50"/>
        <v>850000</v>
      </c>
      <c r="K72" s="27">
        <f t="shared" si="50"/>
        <v>850000</v>
      </c>
      <c r="L72" s="27">
        <f t="shared" si="50"/>
        <v>850000</v>
      </c>
      <c r="M72" s="27">
        <f t="shared" si="50"/>
        <v>850000</v>
      </c>
      <c r="N72" s="27">
        <f t="shared" si="50"/>
        <v>850000</v>
      </c>
      <c r="O72" s="27">
        <f t="shared" si="50"/>
        <v>850000</v>
      </c>
      <c r="P72" s="40"/>
    </row>
    <row r="73" spans="2:16" x14ac:dyDescent="0.4">
      <c r="B73" s="29" t="s">
        <v>37</v>
      </c>
      <c r="C73" s="21"/>
      <c r="D73" s="27">
        <v>450000</v>
      </c>
      <c r="E73" s="27">
        <f t="shared" si="50"/>
        <v>450000</v>
      </c>
      <c r="F73" s="27">
        <f t="shared" si="50"/>
        <v>450000</v>
      </c>
      <c r="G73" s="27">
        <f t="shared" si="50"/>
        <v>450000</v>
      </c>
      <c r="H73" s="27">
        <f t="shared" si="50"/>
        <v>450000</v>
      </c>
      <c r="I73" s="27">
        <f t="shared" si="50"/>
        <v>450000</v>
      </c>
      <c r="J73" s="27">
        <f t="shared" si="50"/>
        <v>450000</v>
      </c>
      <c r="K73" s="27">
        <f t="shared" si="50"/>
        <v>450000</v>
      </c>
      <c r="L73" s="27">
        <f t="shared" si="50"/>
        <v>450000</v>
      </c>
      <c r="M73" s="27">
        <f t="shared" si="50"/>
        <v>450000</v>
      </c>
      <c r="N73" s="27">
        <f t="shared" si="50"/>
        <v>450000</v>
      </c>
      <c r="O73" s="27">
        <f t="shared" si="50"/>
        <v>450000</v>
      </c>
      <c r="P73" s="40"/>
    </row>
    <row r="74" spans="2:16" x14ac:dyDescent="0.4">
      <c r="B74" s="29" t="s">
        <v>38</v>
      </c>
      <c r="C74" s="21"/>
      <c r="D74" s="27">
        <v>850000</v>
      </c>
      <c r="E74" s="27">
        <f t="shared" si="50"/>
        <v>850000</v>
      </c>
      <c r="F74" s="27">
        <f t="shared" si="50"/>
        <v>850000</v>
      </c>
      <c r="G74" s="27">
        <f t="shared" si="50"/>
        <v>850000</v>
      </c>
      <c r="H74" s="27">
        <f t="shared" si="50"/>
        <v>850000</v>
      </c>
      <c r="I74" s="27">
        <f t="shared" si="50"/>
        <v>850000</v>
      </c>
      <c r="J74" s="27">
        <f t="shared" si="50"/>
        <v>850000</v>
      </c>
      <c r="K74" s="27">
        <f t="shared" si="50"/>
        <v>850000</v>
      </c>
      <c r="L74" s="27">
        <f t="shared" si="50"/>
        <v>850000</v>
      </c>
      <c r="M74" s="27">
        <f t="shared" si="50"/>
        <v>850000</v>
      </c>
      <c r="N74" s="27">
        <f t="shared" si="50"/>
        <v>850000</v>
      </c>
      <c r="O74" s="27">
        <f t="shared" si="50"/>
        <v>850000</v>
      </c>
      <c r="P74" s="40"/>
    </row>
    <row r="75" spans="2:16" x14ac:dyDescent="0.4">
      <c r="B75" s="83" t="s">
        <v>122</v>
      </c>
      <c r="C75" s="21"/>
      <c r="D75" s="86">
        <v>0</v>
      </c>
      <c r="E75" s="86">
        <v>0</v>
      </c>
      <c r="F75" s="86">
        <v>0</v>
      </c>
      <c r="G75" s="86">
        <v>0</v>
      </c>
      <c r="H75" s="86">
        <v>0</v>
      </c>
      <c r="I75" s="86">
        <v>0</v>
      </c>
      <c r="J75" s="86">
        <v>0</v>
      </c>
      <c r="K75" s="86">
        <v>0</v>
      </c>
      <c r="L75" s="86">
        <v>0</v>
      </c>
      <c r="M75" s="86">
        <v>0</v>
      </c>
      <c r="N75" s="86">
        <v>0</v>
      </c>
      <c r="O75" s="86">
        <v>0</v>
      </c>
      <c r="P75" s="40"/>
    </row>
    <row r="76" spans="2:16" x14ac:dyDescent="0.4">
      <c r="B76" s="83" t="s">
        <v>123</v>
      </c>
      <c r="C76" s="21"/>
      <c r="D76" s="86">
        <v>0</v>
      </c>
      <c r="E76" s="86">
        <v>0</v>
      </c>
      <c r="F76" s="86">
        <v>0</v>
      </c>
      <c r="G76" s="86">
        <v>0</v>
      </c>
      <c r="H76" s="86">
        <v>0</v>
      </c>
      <c r="I76" s="86">
        <v>0</v>
      </c>
      <c r="J76" s="86">
        <v>0</v>
      </c>
      <c r="K76" s="86">
        <v>0</v>
      </c>
      <c r="L76" s="86">
        <v>0</v>
      </c>
      <c r="M76" s="86">
        <v>0</v>
      </c>
      <c r="N76" s="86">
        <v>0</v>
      </c>
      <c r="O76" s="86">
        <v>0</v>
      </c>
      <c r="P76" s="40"/>
    </row>
    <row r="77" spans="2:16" x14ac:dyDescent="0.4">
      <c r="B77" s="83" t="s">
        <v>124</v>
      </c>
      <c r="C77" s="21"/>
      <c r="D77" s="86">
        <v>0</v>
      </c>
      <c r="E77" s="86">
        <v>0</v>
      </c>
      <c r="F77" s="86">
        <v>0</v>
      </c>
      <c r="G77" s="86">
        <v>0</v>
      </c>
      <c r="H77" s="86">
        <v>0</v>
      </c>
      <c r="I77" s="86">
        <v>0</v>
      </c>
      <c r="J77" s="86">
        <v>0</v>
      </c>
      <c r="K77" s="86">
        <v>0</v>
      </c>
      <c r="L77" s="86">
        <v>0</v>
      </c>
      <c r="M77" s="86">
        <v>0</v>
      </c>
      <c r="N77" s="86">
        <v>0</v>
      </c>
      <c r="O77" s="86">
        <v>0</v>
      </c>
      <c r="P77" s="40"/>
    </row>
    <row r="78" spans="2:16" x14ac:dyDescent="0.4">
      <c r="B78" s="83" t="s">
        <v>125</v>
      </c>
      <c r="C78" s="21"/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40"/>
    </row>
    <row r="79" spans="2:16" x14ac:dyDescent="0.4">
      <c r="B79" s="30"/>
      <c r="C79" s="41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40"/>
    </row>
    <row r="80" spans="2:16" x14ac:dyDescent="0.4">
      <c r="B80" s="23" t="s">
        <v>39</v>
      </c>
      <c r="C80" s="41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40"/>
    </row>
    <row r="81" spans="2:16" x14ac:dyDescent="0.4">
      <c r="B81" s="32" t="s">
        <v>40</v>
      </c>
      <c r="D81" s="42">
        <f>4308855.62+517144</f>
        <v>4825999.62</v>
      </c>
      <c r="E81" s="42">
        <f t="shared" ref="E81:O88" si="51">D81</f>
        <v>4825999.62</v>
      </c>
      <c r="F81" s="42">
        <f t="shared" si="51"/>
        <v>4825999.62</v>
      </c>
      <c r="G81" s="42">
        <f t="shared" si="51"/>
        <v>4825999.62</v>
      </c>
      <c r="H81" s="42">
        <f t="shared" si="51"/>
        <v>4825999.62</v>
      </c>
      <c r="I81" s="42">
        <f t="shared" si="51"/>
        <v>4825999.62</v>
      </c>
      <c r="J81" s="42">
        <f t="shared" si="51"/>
        <v>4825999.62</v>
      </c>
      <c r="K81" s="42">
        <f t="shared" si="51"/>
        <v>4825999.62</v>
      </c>
      <c r="L81" s="42">
        <f t="shared" si="51"/>
        <v>4825999.62</v>
      </c>
      <c r="M81" s="42">
        <f t="shared" si="51"/>
        <v>4825999.62</v>
      </c>
      <c r="N81" s="42">
        <f t="shared" si="51"/>
        <v>4825999.62</v>
      </c>
      <c r="O81" s="42">
        <f t="shared" si="51"/>
        <v>4825999.62</v>
      </c>
      <c r="P81" s="40"/>
    </row>
    <row r="82" spans="2:16" x14ac:dyDescent="0.4">
      <c r="B82" s="32" t="s">
        <v>42</v>
      </c>
      <c r="D82" s="42">
        <v>2631766.63</v>
      </c>
      <c r="E82" s="42">
        <f t="shared" si="51"/>
        <v>2631766.63</v>
      </c>
      <c r="F82" s="42">
        <f t="shared" si="51"/>
        <v>2631766.63</v>
      </c>
      <c r="G82" s="42">
        <f t="shared" si="51"/>
        <v>2631766.63</v>
      </c>
      <c r="H82" s="42">
        <f t="shared" si="51"/>
        <v>2631766.63</v>
      </c>
      <c r="I82" s="42">
        <f t="shared" si="51"/>
        <v>2631766.63</v>
      </c>
      <c r="J82" s="42">
        <f t="shared" si="51"/>
        <v>2631766.63</v>
      </c>
      <c r="K82" s="42">
        <f t="shared" si="51"/>
        <v>2631766.63</v>
      </c>
      <c r="L82" s="42">
        <f t="shared" si="51"/>
        <v>2631766.63</v>
      </c>
      <c r="M82" s="42">
        <f t="shared" si="51"/>
        <v>2631766.63</v>
      </c>
      <c r="N82" s="42">
        <f t="shared" si="51"/>
        <v>2631766.63</v>
      </c>
      <c r="O82" s="42">
        <f t="shared" si="51"/>
        <v>2631766.63</v>
      </c>
      <c r="P82" s="40"/>
    </row>
    <row r="83" spans="2:16" x14ac:dyDescent="0.4">
      <c r="B83" s="33" t="s">
        <v>53</v>
      </c>
      <c r="D83" s="42">
        <f>450000+159150</f>
        <v>609150</v>
      </c>
      <c r="E83" s="42">
        <f t="shared" si="51"/>
        <v>609150</v>
      </c>
      <c r="F83" s="42">
        <f t="shared" si="51"/>
        <v>609150</v>
      </c>
      <c r="G83" s="42">
        <f t="shared" si="51"/>
        <v>609150</v>
      </c>
      <c r="H83" s="42">
        <f t="shared" si="51"/>
        <v>609150</v>
      </c>
      <c r="I83" s="42">
        <f t="shared" si="51"/>
        <v>609150</v>
      </c>
      <c r="J83" s="42">
        <f t="shared" si="51"/>
        <v>609150</v>
      </c>
      <c r="K83" s="42">
        <f t="shared" si="51"/>
        <v>609150</v>
      </c>
      <c r="L83" s="42">
        <f t="shared" si="51"/>
        <v>609150</v>
      </c>
      <c r="M83" s="42">
        <f t="shared" si="51"/>
        <v>609150</v>
      </c>
      <c r="N83" s="42">
        <f t="shared" si="51"/>
        <v>609150</v>
      </c>
      <c r="O83" s="42">
        <f t="shared" si="51"/>
        <v>609150</v>
      </c>
      <c r="P83" s="40"/>
    </row>
    <row r="84" spans="2:16" ht="15" customHeight="1" x14ac:dyDescent="0.4">
      <c r="B84" s="33" t="s">
        <v>44</v>
      </c>
      <c r="D84" s="44">
        <f>(9095833.25/3)+1538922.82583333</f>
        <v>4570867.242499996</v>
      </c>
      <c r="E84" s="44">
        <f t="shared" si="51"/>
        <v>4570867.242499996</v>
      </c>
      <c r="F84" s="44">
        <f t="shared" si="51"/>
        <v>4570867.242499996</v>
      </c>
      <c r="G84" s="44">
        <f t="shared" si="51"/>
        <v>4570867.242499996</v>
      </c>
      <c r="H84" s="44">
        <f t="shared" si="51"/>
        <v>4570867.242499996</v>
      </c>
      <c r="I84" s="44">
        <f t="shared" si="51"/>
        <v>4570867.242499996</v>
      </c>
      <c r="J84" s="44">
        <f t="shared" si="51"/>
        <v>4570867.242499996</v>
      </c>
      <c r="K84" s="44">
        <f t="shared" si="51"/>
        <v>4570867.242499996</v>
      </c>
      <c r="L84" s="44">
        <f t="shared" si="51"/>
        <v>4570867.242499996</v>
      </c>
      <c r="M84" s="44">
        <f t="shared" si="51"/>
        <v>4570867.242499996</v>
      </c>
      <c r="N84" s="44">
        <f t="shared" si="51"/>
        <v>4570867.242499996</v>
      </c>
      <c r="O84" s="44">
        <f t="shared" si="51"/>
        <v>4570867.242499996</v>
      </c>
      <c r="P84" s="40"/>
    </row>
    <row r="85" spans="2:16" ht="15" customHeight="1" x14ac:dyDescent="0.4">
      <c r="B85" s="29" t="s">
        <v>46</v>
      </c>
      <c r="D85" s="44">
        <f>(177333333.333333/7000+38544)*0</f>
        <v>0</v>
      </c>
      <c r="E85" s="44">
        <f t="shared" si="51"/>
        <v>0</v>
      </c>
      <c r="F85" s="44">
        <f t="shared" si="51"/>
        <v>0</v>
      </c>
      <c r="G85" s="44">
        <f t="shared" si="51"/>
        <v>0</v>
      </c>
      <c r="H85" s="44">
        <f t="shared" si="51"/>
        <v>0</v>
      </c>
      <c r="I85" s="44">
        <f t="shared" si="51"/>
        <v>0</v>
      </c>
      <c r="J85" s="44">
        <f t="shared" si="51"/>
        <v>0</v>
      </c>
      <c r="K85" s="44">
        <f t="shared" si="51"/>
        <v>0</v>
      </c>
      <c r="L85" s="44">
        <f t="shared" si="51"/>
        <v>0</v>
      </c>
      <c r="M85" s="44">
        <f t="shared" si="51"/>
        <v>0</v>
      </c>
      <c r="N85" s="44">
        <f t="shared" si="51"/>
        <v>0</v>
      </c>
      <c r="O85" s="44">
        <f t="shared" si="51"/>
        <v>0</v>
      </c>
      <c r="P85" s="40"/>
    </row>
    <row r="86" spans="2:16" ht="15" customHeight="1" x14ac:dyDescent="0.4">
      <c r="B86" s="29" t="s">
        <v>47</v>
      </c>
      <c r="D86" s="44">
        <f>((350000/12)+60000)*0</f>
        <v>0</v>
      </c>
      <c r="E86" s="44">
        <f t="shared" si="51"/>
        <v>0</v>
      </c>
      <c r="F86" s="44">
        <f t="shared" si="51"/>
        <v>0</v>
      </c>
      <c r="G86" s="44">
        <f t="shared" si="51"/>
        <v>0</v>
      </c>
      <c r="H86" s="44">
        <f t="shared" si="51"/>
        <v>0</v>
      </c>
      <c r="I86" s="44">
        <f t="shared" si="51"/>
        <v>0</v>
      </c>
      <c r="J86" s="44">
        <f t="shared" si="51"/>
        <v>0</v>
      </c>
      <c r="K86" s="44">
        <f t="shared" si="51"/>
        <v>0</v>
      </c>
      <c r="L86" s="44">
        <f t="shared" si="51"/>
        <v>0</v>
      </c>
      <c r="M86" s="44">
        <f t="shared" si="51"/>
        <v>0</v>
      </c>
      <c r="N86" s="44">
        <f t="shared" si="51"/>
        <v>0</v>
      </c>
      <c r="O86" s="44">
        <f t="shared" si="51"/>
        <v>0</v>
      </c>
      <c r="P86" s="40"/>
    </row>
    <row r="87" spans="2:16" ht="15" hidden="1" customHeight="1" x14ac:dyDescent="0.4">
      <c r="B87" s="33" t="s">
        <v>48</v>
      </c>
      <c r="D87" s="44"/>
      <c r="E87" s="44">
        <f t="shared" si="51"/>
        <v>0</v>
      </c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0"/>
    </row>
    <row r="88" spans="2:16" ht="15" customHeight="1" x14ac:dyDescent="0.4">
      <c r="B88" s="33" t="s">
        <v>111</v>
      </c>
      <c r="D88" s="44">
        <v>3000000</v>
      </c>
      <c r="E88" s="44">
        <f t="shared" si="51"/>
        <v>3000000</v>
      </c>
      <c r="F88" s="44">
        <f t="shared" ref="F88" si="52">E88</f>
        <v>3000000</v>
      </c>
      <c r="G88" s="44">
        <f t="shared" ref="G88" si="53">F88</f>
        <v>3000000</v>
      </c>
      <c r="H88" s="44">
        <f t="shared" ref="H88" si="54">G88</f>
        <v>3000000</v>
      </c>
      <c r="I88" s="44">
        <f t="shared" ref="I88" si="55">H88</f>
        <v>3000000</v>
      </c>
      <c r="J88" s="44">
        <f t="shared" ref="J88" si="56">I88</f>
        <v>3000000</v>
      </c>
      <c r="K88" s="44">
        <f t="shared" ref="K88" si="57">J88</f>
        <v>3000000</v>
      </c>
      <c r="L88" s="44">
        <f t="shared" ref="L88" si="58">K88</f>
        <v>3000000</v>
      </c>
      <c r="M88" s="44">
        <f t="shared" ref="M88" si="59">L88</f>
        <v>3000000</v>
      </c>
      <c r="N88" s="44">
        <f t="shared" ref="N88" si="60">M88</f>
        <v>3000000</v>
      </c>
      <c r="O88" s="44">
        <f t="shared" ref="O88" si="61">N88</f>
        <v>3000000</v>
      </c>
      <c r="P88" s="40"/>
    </row>
    <row r="89" spans="2:16" x14ac:dyDescent="0.4">
      <c r="B89" s="30"/>
      <c r="C89" s="41"/>
      <c r="D89" s="45"/>
      <c r="O89" s="42">
        <v>28479666</v>
      </c>
    </row>
    <row r="90" spans="2:16" x14ac:dyDescent="0.4">
      <c r="B90" s="20" t="s">
        <v>56</v>
      </c>
      <c r="O90" s="40">
        <f>O89-P25</f>
        <v>21169866</v>
      </c>
    </row>
    <row r="91" spans="2:16" x14ac:dyDescent="0.4">
      <c r="B91" s="23"/>
      <c r="C91" s="23"/>
      <c r="D91" s="21" t="s">
        <v>57</v>
      </c>
      <c r="E91" s="21" t="s">
        <v>58</v>
      </c>
      <c r="F91" s="21" t="s">
        <v>59</v>
      </c>
      <c r="G91" s="21" t="s">
        <v>60</v>
      </c>
      <c r="H91" s="21" t="s">
        <v>61</v>
      </c>
      <c r="I91" s="21" t="s">
        <v>62</v>
      </c>
      <c r="O91" s="40">
        <f>O90/12</f>
        <v>1764155.5</v>
      </c>
    </row>
    <row r="92" spans="2:16" x14ac:dyDescent="0.4">
      <c r="B92" s="23" t="s">
        <v>63</v>
      </c>
      <c r="C92" s="23"/>
      <c r="E92" s="46">
        <v>0.15</v>
      </c>
      <c r="F92" s="46">
        <v>0.15</v>
      </c>
      <c r="G92" s="46">
        <v>0.15</v>
      </c>
      <c r="H92" s="46">
        <v>0.15</v>
      </c>
      <c r="I92" s="46"/>
      <c r="J92" s="47"/>
      <c r="K92" s="47"/>
      <c r="L92" s="47"/>
      <c r="M92" s="47"/>
      <c r="N92" s="47"/>
    </row>
    <row r="93" spans="2:16" x14ac:dyDescent="0.4">
      <c r="B93" s="23" t="s">
        <v>64</v>
      </c>
      <c r="C93" s="23"/>
      <c r="E93" s="46">
        <v>0.15</v>
      </c>
      <c r="F93" s="46">
        <v>0.15</v>
      </c>
      <c r="G93" s="46">
        <v>0.15</v>
      </c>
      <c r="H93" s="46">
        <v>0.15</v>
      </c>
      <c r="I93" s="46"/>
      <c r="J93" s="47"/>
      <c r="K93" s="47"/>
      <c r="L93" s="47"/>
      <c r="M93" s="47"/>
      <c r="N93" s="47"/>
    </row>
    <row r="94" spans="2:16" x14ac:dyDescent="0.4">
      <c r="B94" s="23"/>
      <c r="C94" s="23"/>
      <c r="E94" s="46"/>
      <c r="F94" s="46"/>
      <c r="G94" s="46"/>
      <c r="H94" s="46"/>
      <c r="I94" s="48"/>
      <c r="J94" s="47"/>
      <c r="K94" s="47"/>
      <c r="L94" s="47"/>
      <c r="M94" s="47"/>
      <c r="N94" s="47"/>
    </row>
    <row r="95" spans="2:16" x14ac:dyDescent="0.4">
      <c r="B95" s="29" t="s">
        <v>65</v>
      </c>
      <c r="C95" s="26">
        <v>10</v>
      </c>
      <c r="E95" s="46">
        <v>0.2</v>
      </c>
      <c r="F95" s="46">
        <v>0.2</v>
      </c>
      <c r="G95" s="46">
        <v>0.2</v>
      </c>
      <c r="H95" s="46">
        <v>0.2</v>
      </c>
      <c r="J95" s="47"/>
      <c r="K95" s="47"/>
      <c r="L95" s="47"/>
      <c r="M95" s="47"/>
      <c r="N95" s="47"/>
    </row>
    <row r="96" spans="2:16" x14ac:dyDescent="0.4">
      <c r="B96" s="29" t="s">
        <v>66</v>
      </c>
      <c r="C96" s="49">
        <v>0.35</v>
      </c>
      <c r="D96" s="45">
        <f>((3443676535.2185/12*0)+(P31/12)*C96)</f>
        <v>7637974.2223749971</v>
      </c>
      <c r="E96" s="46">
        <v>0.1</v>
      </c>
      <c r="F96" s="46">
        <v>0.08</v>
      </c>
      <c r="G96" s="46">
        <v>0.08</v>
      </c>
      <c r="H96" s="46">
        <v>0.06</v>
      </c>
      <c r="I96" s="46">
        <f>D96/D31</f>
        <v>0.36991739210890984</v>
      </c>
      <c r="J96" s="47"/>
      <c r="K96" s="47"/>
      <c r="L96" s="47"/>
      <c r="M96" s="47"/>
      <c r="N96" s="47"/>
    </row>
    <row r="97" spans="2:22" x14ac:dyDescent="0.4">
      <c r="B97" s="29" t="s">
        <v>67</v>
      </c>
      <c r="C97" s="49"/>
      <c r="D97" s="50">
        <f>U113</f>
        <v>5249350</v>
      </c>
      <c r="E97" s="46">
        <v>0.1</v>
      </c>
      <c r="F97" s="46">
        <v>0.08</v>
      </c>
      <c r="G97" s="46">
        <v>0.05</v>
      </c>
      <c r="H97" s="46">
        <v>0.05</v>
      </c>
      <c r="I97" s="46"/>
      <c r="J97" s="47"/>
      <c r="K97" s="47"/>
      <c r="L97" s="47"/>
      <c r="M97" s="47"/>
      <c r="N97" s="47"/>
    </row>
    <row r="98" spans="2:22" x14ac:dyDescent="0.4">
      <c r="B98" s="29" t="s">
        <v>68</v>
      </c>
      <c r="C98" s="49">
        <v>0.01</v>
      </c>
      <c r="D98" s="50">
        <f>$P$31*C98</f>
        <v>2618734.0190999992</v>
      </c>
      <c r="E98" s="46"/>
      <c r="F98" s="46"/>
      <c r="G98" s="46"/>
      <c r="H98" s="46"/>
      <c r="I98" s="46"/>
      <c r="J98" s="47"/>
      <c r="K98" s="47"/>
      <c r="L98" s="47"/>
      <c r="M98" s="47"/>
      <c r="N98" s="47"/>
    </row>
    <row r="99" spans="2:22" x14ac:dyDescent="0.4">
      <c r="B99" s="29" t="s">
        <v>69</v>
      </c>
      <c r="C99" s="49">
        <v>0</v>
      </c>
      <c r="D99" s="50">
        <f>$P$31*C99</f>
        <v>0</v>
      </c>
      <c r="I99" s="47"/>
      <c r="J99" s="47"/>
      <c r="K99" s="47"/>
      <c r="L99" s="47"/>
      <c r="M99" s="47"/>
      <c r="N99" s="47"/>
    </row>
    <row r="100" spans="2:22" x14ac:dyDescent="0.4">
      <c r="D100" s="50"/>
    </row>
    <row r="101" spans="2:22" x14ac:dyDescent="0.4">
      <c r="B101" s="29" t="s">
        <v>70</v>
      </c>
      <c r="D101" s="50"/>
    </row>
    <row r="102" spans="2:22" x14ac:dyDescent="0.4">
      <c r="B102" s="19" t="s">
        <v>71</v>
      </c>
      <c r="C102" s="49">
        <v>0</v>
      </c>
      <c r="D102" s="50">
        <f>$P$31*C102</f>
        <v>0</v>
      </c>
      <c r="E102" s="46">
        <v>0.1</v>
      </c>
      <c r="F102" s="46">
        <v>0.1</v>
      </c>
      <c r="G102" s="46">
        <v>0.1</v>
      </c>
      <c r="H102" s="46">
        <v>0.1</v>
      </c>
      <c r="I102" s="47"/>
      <c r="R102" s="29" t="s">
        <v>72</v>
      </c>
      <c r="S102" s="29"/>
      <c r="T102" s="29"/>
      <c r="U102" s="29"/>
      <c r="V102" s="29"/>
    </row>
    <row r="103" spans="2:22" x14ac:dyDescent="0.4">
      <c r="B103" s="19" t="s">
        <v>73</v>
      </c>
      <c r="C103" s="49">
        <v>0.01</v>
      </c>
      <c r="D103" s="50">
        <f>($P$31*C103)/12*0</f>
        <v>0</v>
      </c>
      <c r="E103" s="47"/>
      <c r="F103" s="47"/>
      <c r="G103" s="47"/>
      <c r="H103" s="47"/>
      <c r="I103" s="29" t="s">
        <v>74</v>
      </c>
      <c r="R103" s="29" t="s">
        <v>75</v>
      </c>
      <c r="S103" s="26">
        <v>1</v>
      </c>
      <c r="T103" s="51">
        <f>1648628.56641109+1000000</f>
        <v>2648628.5664110901</v>
      </c>
      <c r="U103" s="52">
        <f>T103*0.25</f>
        <v>662157.14160277252</v>
      </c>
      <c r="V103" s="29" t="s">
        <v>76</v>
      </c>
    </row>
    <row r="104" spans="2:22" x14ac:dyDescent="0.4">
      <c r="B104" s="19" t="s">
        <v>77</v>
      </c>
      <c r="C104" s="53">
        <v>1E-3</v>
      </c>
      <c r="D104" s="50">
        <f>($P$31*C104)/12</f>
        <v>21822.783492499992</v>
      </c>
      <c r="E104" s="47"/>
      <c r="F104" s="47"/>
      <c r="G104" s="47"/>
      <c r="H104" s="47"/>
      <c r="I104" s="29" t="s">
        <v>78</v>
      </c>
      <c r="R104" s="29" t="s">
        <v>79</v>
      </c>
      <c r="S104" s="26">
        <v>1</v>
      </c>
      <c r="T104" s="51">
        <v>684286.29333333333</v>
      </c>
      <c r="U104" s="52">
        <f>T104*0.25</f>
        <v>171071.57333333333</v>
      </c>
      <c r="V104" s="29" t="s">
        <v>76</v>
      </c>
    </row>
    <row r="105" spans="2:22" x14ac:dyDescent="0.4">
      <c r="B105" s="19" t="s">
        <v>80</v>
      </c>
      <c r="D105" s="50">
        <v>200000</v>
      </c>
      <c r="E105" s="47"/>
      <c r="F105" s="47"/>
      <c r="G105" s="47"/>
      <c r="H105" s="47"/>
      <c r="I105" s="47"/>
      <c r="R105" s="29"/>
      <c r="S105" s="29"/>
      <c r="T105" s="29"/>
      <c r="U105" s="29"/>
      <c r="V105" s="29"/>
    </row>
    <row r="106" spans="2:22" x14ac:dyDescent="0.4">
      <c r="B106" s="19" t="s">
        <v>81</v>
      </c>
      <c r="C106" s="49">
        <v>0</v>
      </c>
      <c r="D106" s="50">
        <f>5000000/12*0</f>
        <v>0</v>
      </c>
      <c r="E106" s="47"/>
      <c r="F106" s="47"/>
      <c r="G106" s="47"/>
      <c r="H106" s="47"/>
      <c r="I106" s="47"/>
      <c r="R106" s="29"/>
      <c r="S106" s="29"/>
      <c r="T106" s="29"/>
      <c r="U106" s="54">
        <f>SUM(U103:U104)</f>
        <v>833228.71493610588</v>
      </c>
      <c r="V106" s="29"/>
    </row>
    <row r="107" spans="2:22" x14ac:dyDescent="0.4">
      <c r="B107" s="19" t="s">
        <v>82</v>
      </c>
      <c r="D107" s="50">
        <v>125000</v>
      </c>
      <c r="E107" s="47"/>
      <c r="F107" s="47"/>
      <c r="G107" s="47"/>
      <c r="H107" s="47"/>
      <c r="I107" s="47"/>
      <c r="K107" s="28"/>
    </row>
    <row r="108" spans="2:22" x14ac:dyDescent="0.4">
      <c r="B108" s="19" t="s">
        <v>83</v>
      </c>
      <c r="D108" s="50">
        <f t="shared" ref="D108:D111" si="62">$P$31*C108</f>
        <v>0</v>
      </c>
      <c r="E108" s="47"/>
      <c r="F108" s="47"/>
      <c r="G108" s="47"/>
      <c r="H108" s="47"/>
      <c r="I108" s="47"/>
      <c r="K108" s="28"/>
      <c r="R108" s="33" t="s">
        <v>84</v>
      </c>
      <c r="S108" s="26">
        <v>1</v>
      </c>
      <c r="T108" s="55">
        <v>506275</v>
      </c>
      <c r="U108" s="56">
        <f>S108*T108</f>
        <v>506275</v>
      </c>
    </row>
    <row r="109" spans="2:22" x14ac:dyDescent="0.4">
      <c r="B109" s="19" t="s">
        <v>85</v>
      </c>
      <c r="D109" s="50">
        <f>7000000/12*0</f>
        <v>0</v>
      </c>
      <c r="E109" s="47"/>
      <c r="F109" s="47"/>
      <c r="G109" s="47"/>
      <c r="H109" s="47"/>
      <c r="I109" s="47"/>
      <c r="K109" s="28"/>
      <c r="R109" s="33" t="s">
        <v>86</v>
      </c>
      <c r="S109" s="26">
        <v>1</v>
      </c>
      <c r="T109" s="57">
        <v>925000</v>
      </c>
      <c r="U109" s="56">
        <f t="shared" ref="U109:U112" si="63">S109*T109</f>
        <v>925000</v>
      </c>
    </row>
    <row r="110" spans="2:22" x14ac:dyDescent="0.4">
      <c r="B110" s="19" t="s">
        <v>87</v>
      </c>
      <c r="D110" s="50">
        <v>0</v>
      </c>
      <c r="E110" s="47"/>
      <c r="F110" s="47"/>
      <c r="G110" s="47"/>
      <c r="H110" s="47"/>
      <c r="I110" s="47"/>
      <c r="K110" s="28">
        <v>27994978.316933122</v>
      </c>
      <c r="R110" s="33" t="s">
        <v>88</v>
      </c>
      <c r="S110" s="26">
        <v>4</v>
      </c>
      <c r="T110" s="55">
        <v>473750</v>
      </c>
      <c r="U110" s="56">
        <f t="shared" si="63"/>
        <v>1895000</v>
      </c>
    </row>
    <row r="111" spans="2:22" x14ac:dyDescent="0.4">
      <c r="B111" s="19" t="s">
        <v>89</v>
      </c>
      <c r="D111" s="50">
        <f t="shared" si="62"/>
        <v>0</v>
      </c>
      <c r="E111" s="47"/>
      <c r="F111" s="47"/>
      <c r="G111" s="47"/>
      <c r="H111" s="47"/>
      <c r="I111" s="47"/>
      <c r="K111" s="28">
        <f>K110/12</f>
        <v>2332914.8597444268</v>
      </c>
      <c r="R111" s="33" t="s">
        <v>90</v>
      </c>
      <c r="S111" s="26">
        <v>2</v>
      </c>
      <c r="T111" s="55">
        <v>213675</v>
      </c>
      <c r="U111" s="56">
        <f t="shared" si="63"/>
        <v>427350</v>
      </c>
    </row>
    <row r="112" spans="2:22" x14ac:dyDescent="0.4">
      <c r="B112" s="19" t="s">
        <v>91</v>
      </c>
      <c r="D112" s="50">
        <v>200000</v>
      </c>
      <c r="E112" s="47"/>
      <c r="F112" s="47"/>
      <c r="G112" s="47"/>
      <c r="H112" s="47"/>
      <c r="I112" s="47"/>
      <c r="R112" s="33" t="s">
        <v>92</v>
      </c>
      <c r="S112" s="26">
        <v>7</v>
      </c>
      <c r="T112" s="55">
        <v>213675</v>
      </c>
      <c r="U112" s="56">
        <f t="shared" si="63"/>
        <v>1495725</v>
      </c>
    </row>
    <row r="113" spans="2:21" x14ac:dyDescent="0.4">
      <c r="B113" s="19" t="s">
        <v>93</v>
      </c>
      <c r="D113" s="50">
        <v>120000</v>
      </c>
      <c r="E113" s="47"/>
      <c r="F113" s="47"/>
      <c r="G113" s="47"/>
      <c r="H113" s="47"/>
      <c r="I113" s="47"/>
      <c r="U113" s="56">
        <f>SUM(U108:U112)</f>
        <v>5249350</v>
      </c>
    </row>
    <row r="114" spans="2:21" x14ac:dyDescent="0.4">
      <c r="B114" s="29" t="s">
        <v>94</v>
      </c>
      <c r="C114" s="49"/>
      <c r="D114" s="58">
        <f>1500000/12</f>
        <v>125000</v>
      </c>
    </row>
    <row r="115" spans="2:21" x14ac:dyDescent="0.4">
      <c r="B115" s="29" t="s">
        <v>95</v>
      </c>
      <c r="D115" s="58">
        <v>700000</v>
      </c>
      <c r="Q115" s="55"/>
    </row>
    <row r="116" spans="2:21" x14ac:dyDescent="0.4">
      <c r="B116" s="29" t="s">
        <v>96</v>
      </c>
      <c r="D116" s="45">
        <f>1242889307.60419/12*0</f>
        <v>0</v>
      </c>
      <c r="Q116" s="55"/>
    </row>
    <row r="117" spans="2:21" x14ac:dyDescent="0.4">
      <c r="B117" s="29" t="s">
        <v>97</v>
      </c>
      <c r="D117" s="45">
        <f>(1242889307.60419/12)*21%*0</f>
        <v>0</v>
      </c>
      <c r="Q117" s="55"/>
    </row>
    <row r="118" spans="2:21" x14ac:dyDescent="0.4">
      <c r="D118" s="45"/>
      <c r="Q118" s="55"/>
    </row>
    <row r="119" spans="2:21" x14ac:dyDescent="0.4">
      <c r="D119" s="45"/>
    </row>
  </sheetData>
  <dataValidations disablePrompts="1" count="1">
    <dataValidation type="list" allowBlank="1" showInputMessage="1" showErrorMessage="1" sqref="C3 C36:C51 C5:C20 C64:C78" xr:uid="{62B0C3E8-9238-40DA-BAD7-B3AABA3C75E7}">
      <formula1>"Upside,Downside,Base case"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EC4E6-6571-4197-BC24-C9C02642AAE4}">
  <sheetPr>
    <tabColor theme="4" tint="0.59999389629810485"/>
    <outlinePr summaryRight="0"/>
  </sheetPr>
  <dimension ref="A2:Y51"/>
  <sheetViews>
    <sheetView showGridLines="0" tabSelected="1" view="pageBreakPreview" zoomScaleNormal="100" zoomScaleSheetLayoutView="100" workbookViewId="0">
      <pane xSplit="3" ySplit="4" topLeftCell="G28" activePane="bottomRight" state="frozen"/>
      <selection activeCell="B1" sqref="B1:N1048576"/>
      <selection pane="topRight" activeCell="B1" sqref="B1:N1048576"/>
      <selection pane="bottomLeft" activeCell="B1" sqref="B1:N1048576"/>
      <selection pane="bottomRight" activeCell="P43" sqref="P43:T43"/>
    </sheetView>
  </sheetViews>
  <sheetFormatPr defaultColWidth="9.1796875" defaultRowHeight="16" outlineLevelRow="1" outlineLevelCol="1" x14ac:dyDescent="0.35"/>
  <cols>
    <col min="1" max="1" width="1.453125" style="26" customWidth="1"/>
    <col min="2" max="2" width="32.08984375" style="33" bestFit="1" customWidth="1"/>
    <col min="3" max="3" width="7.08984375" style="26" bestFit="1" customWidth="1"/>
    <col min="4" max="15" width="15.36328125" style="26" customWidth="1" outlineLevel="1"/>
    <col min="16" max="16" width="16.54296875" style="21" bestFit="1" customWidth="1" collapsed="1"/>
    <col min="17" max="17" width="21.54296875" style="82" hidden="1" customWidth="1" outlineLevel="1"/>
    <col min="18" max="18" width="22" style="82" hidden="1" customWidth="1" outlineLevel="1"/>
    <col min="19" max="19" width="21" style="82" hidden="1" customWidth="1" outlineLevel="1"/>
    <col min="20" max="20" width="21.81640625" style="82" hidden="1" customWidth="1" outlineLevel="1"/>
    <col min="21" max="21" width="21.81640625" style="26" customWidth="1"/>
    <col min="22" max="16384" width="9.1796875" style="26"/>
  </cols>
  <sheetData>
    <row r="2" spans="1:25" ht="16.5" thickBot="1" x14ac:dyDescent="0.4">
      <c r="B2" s="59" t="s">
        <v>98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1"/>
      <c r="R2" s="61"/>
      <c r="S2" s="61"/>
      <c r="T2" s="61"/>
      <c r="U2" s="50"/>
    </row>
    <row r="3" spans="1:25" s="21" customFormat="1" ht="17" thickTop="1" thickBot="1" x14ac:dyDescent="0.4">
      <c r="A3" s="62"/>
      <c r="B3" s="63"/>
      <c r="C3" s="62"/>
      <c r="D3" s="64" t="s">
        <v>17</v>
      </c>
      <c r="E3" s="64" t="s">
        <v>18</v>
      </c>
      <c r="F3" s="64" t="s">
        <v>19</v>
      </c>
      <c r="G3" s="64" t="s">
        <v>20</v>
      </c>
      <c r="H3" s="64" t="s">
        <v>21</v>
      </c>
      <c r="I3" s="64" t="s">
        <v>22</v>
      </c>
      <c r="J3" s="64" t="s">
        <v>23</v>
      </c>
      <c r="K3" s="64" t="s">
        <v>24</v>
      </c>
      <c r="L3" s="64" t="s">
        <v>25</v>
      </c>
      <c r="M3" s="64" t="s">
        <v>26</v>
      </c>
      <c r="N3" s="64" t="s">
        <v>27</v>
      </c>
      <c r="O3" s="64" t="s">
        <v>28</v>
      </c>
      <c r="P3" s="62" t="s">
        <v>57</v>
      </c>
      <c r="Q3" s="62" t="s">
        <v>58</v>
      </c>
      <c r="R3" s="62" t="s">
        <v>59</v>
      </c>
      <c r="S3" s="62" t="s">
        <v>60</v>
      </c>
      <c r="T3" s="62" t="s">
        <v>61</v>
      </c>
      <c r="U3" s="50"/>
      <c r="V3" s="26"/>
      <c r="W3" s="26"/>
      <c r="X3" s="26"/>
      <c r="Y3" s="26"/>
    </row>
    <row r="4" spans="1:25" ht="17" thickTop="1" thickBot="1" x14ac:dyDescent="0.4">
      <c r="A4" s="62"/>
      <c r="B4" s="63"/>
      <c r="C4" s="62"/>
      <c r="D4" s="62" t="s">
        <v>15</v>
      </c>
      <c r="E4" s="62" t="s">
        <v>15</v>
      </c>
      <c r="F4" s="62" t="s">
        <v>15</v>
      </c>
      <c r="G4" s="62" t="s">
        <v>15</v>
      </c>
      <c r="H4" s="62" t="s">
        <v>15</v>
      </c>
      <c r="I4" s="62" t="s">
        <v>15</v>
      </c>
      <c r="J4" s="62" t="s">
        <v>15</v>
      </c>
      <c r="K4" s="62" t="s">
        <v>15</v>
      </c>
      <c r="L4" s="62" t="s">
        <v>15</v>
      </c>
      <c r="M4" s="62" t="s">
        <v>15</v>
      </c>
      <c r="N4" s="62" t="s">
        <v>15</v>
      </c>
      <c r="O4" s="62" t="s">
        <v>15</v>
      </c>
      <c r="P4" s="62" t="s">
        <v>99</v>
      </c>
      <c r="Q4" s="62" t="s">
        <v>99</v>
      </c>
      <c r="R4" s="62" t="s">
        <v>99</v>
      </c>
      <c r="S4" s="62" t="s">
        <v>99</v>
      </c>
      <c r="T4" s="62" t="s">
        <v>99</v>
      </c>
      <c r="U4" s="50"/>
    </row>
    <row r="5" spans="1:25" ht="18" customHeight="1" thickTop="1" thickBot="1" x14ac:dyDescent="0.4">
      <c r="B5" s="65" t="s">
        <v>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7"/>
      <c r="R5" s="67"/>
      <c r="S5" s="67"/>
      <c r="T5" s="67"/>
      <c r="U5" s="50"/>
    </row>
    <row r="6" spans="1:25" ht="18" customHeight="1" x14ac:dyDescent="0.4">
      <c r="B6" s="68" t="s">
        <v>30</v>
      </c>
      <c r="D6" s="58">
        <f>VLOOKUP($B6,'Assumption (Corp Clinic)'!$B:$P,3,FALSE)</f>
        <v>5010000</v>
      </c>
      <c r="E6" s="58">
        <f>VLOOKUP($B6,'Assumption (Corp Clinic)'!$B:$P,4,FALSE)</f>
        <v>7360000</v>
      </c>
      <c r="F6" s="58">
        <f>VLOOKUP($B6,'Assumption (Corp Clinic)'!$B:$P,5,FALSE)</f>
        <v>5010000</v>
      </c>
      <c r="G6" s="58">
        <f>VLOOKUP($B6,'Assumption (Corp Clinic)'!$B:$P,6,FALSE)</f>
        <v>7360000</v>
      </c>
      <c r="H6" s="58">
        <f>VLOOKUP($B6,'Assumption (Corp Clinic)'!$B:$P,7,FALSE)</f>
        <v>5010000</v>
      </c>
      <c r="I6" s="58">
        <f>VLOOKUP($B6,'Assumption (Corp Clinic)'!$B:$P,8,FALSE)</f>
        <v>7360000</v>
      </c>
      <c r="J6" s="58">
        <f>VLOOKUP($B6,'Assumption (Corp Clinic)'!$B:$P,9,FALSE)</f>
        <v>5010000</v>
      </c>
      <c r="K6" s="58">
        <f>VLOOKUP($B6,'Assumption (Corp Clinic)'!$B:$P,10,FALSE)</f>
        <v>7360000</v>
      </c>
      <c r="L6" s="58">
        <f>VLOOKUP($B6,'Assumption (Corp Clinic)'!$B:$P,11,FALSE)</f>
        <v>5010000</v>
      </c>
      <c r="M6" s="58">
        <f>VLOOKUP($B6,'Assumption (Corp Clinic)'!$B:$P,12,FALSE)</f>
        <v>7360000</v>
      </c>
      <c r="N6" s="58">
        <f>VLOOKUP($B6,'Assumption (Corp Clinic)'!$B:$P,13,FALSE)</f>
        <v>5010000</v>
      </c>
      <c r="O6" s="58">
        <f>VLOOKUP($B6,'Assumption (Corp Clinic)'!$B:$P,14,FALSE)</f>
        <v>7360000</v>
      </c>
      <c r="P6" s="69">
        <f>SUM(D6:O6)</f>
        <v>74220000</v>
      </c>
      <c r="Q6" s="58">
        <f>P6*(1+'[2]Assumption (Advisory)'!E$45)*(1+'[2]Assumption (Advisory)'!E$48)</f>
        <v>102423600</v>
      </c>
      <c r="R6" s="58">
        <f>Q6*(1+'[2]Assumption (Advisory)'!F$45)*(1+'[2]Assumption (Advisory)'!F$48)</f>
        <v>141344567.99999997</v>
      </c>
      <c r="S6" s="58">
        <f>R6*(1+'[2]Assumption (Advisory)'!G$45)*(1+'[2]Assumption (Advisory)'!G$48)</f>
        <v>195055503.83999994</v>
      </c>
      <c r="T6" s="58">
        <f>S6*(1+'[2]Assumption (Advisory)'!H$45)*(1+'[2]Assumption (Advisory)'!H$48)</f>
        <v>269176595.29919988</v>
      </c>
      <c r="U6" s="50"/>
    </row>
    <row r="7" spans="1:25" x14ac:dyDescent="0.4">
      <c r="B7" s="68" t="s">
        <v>39</v>
      </c>
      <c r="D7" s="58">
        <f>VLOOKUP($B7,'Assumption (Corp Clinic)'!$B:$P,3,FALSE)</f>
        <v>15637783.492499996</v>
      </c>
      <c r="E7" s="58">
        <f>VLOOKUP($B7,'Assumption (Corp Clinic)'!$B:$P,4,FALSE)</f>
        <v>15637783.492499996</v>
      </c>
      <c r="F7" s="58">
        <f>VLOOKUP($B7,'Assumption (Corp Clinic)'!$B:$P,5,FALSE)</f>
        <v>15637783.492499996</v>
      </c>
      <c r="G7" s="58">
        <f>VLOOKUP($B7,'Assumption (Corp Clinic)'!$B:$P,6,FALSE)</f>
        <v>15637783.492499996</v>
      </c>
      <c r="H7" s="58">
        <f>VLOOKUP($B7,'Assumption (Corp Clinic)'!$B:$P,7,FALSE)</f>
        <v>15637783.492499996</v>
      </c>
      <c r="I7" s="58">
        <f>VLOOKUP($B7,'Assumption (Corp Clinic)'!$B:$P,8,FALSE)</f>
        <v>15637783.492499996</v>
      </c>
      <c r="J7" s="58">
        <f>VLOOKUP($B7,'Assumption (Corp Clinic)'!$B:$P,9,FALSE)</f>
        <v>15637783.492499996</v>
      </c>
      <c r="K7" s="58">
        <f>VLOOKUP($B7,'Assumption (Corp Clinic)'!$B:$P,10,FALSE)</f>
        <v>15637783.492499996</v>
      </c>
      <c r="L7" s="58">
        <f>VLOOKUP($B7,'Assumption (Corp Clinic)'!$B:$P,11,FALSE)</f>
        <v>15637783.492499996</v>
      </c>
      <c r="M7" s="58">
        <f>VLOOKUP($B7,'Assumption (Corp Clinic)'!$B:$P,12,FALSE)</f>
        <v>15637783.492499996</v>
      </c>
      <c r="N7" s="58">
        <f>VLOOKUP($B7,'Assumption (Corp Clinic)'!$B:$P,13,FALSE)</f>
        <v>15637783.492499996</v>
      </c>
      <c r="O7" s="58">
        <f>VLOOKUP($B7,'Assumption (Corp Clinic)'!$B:$P,14,FALSE)</f>
        <v>15637783.492499996</v>
      </c>
      <c r="P7" s="69">
        <f>SUM(D7:O7)</f>
        <v>187653401.90999997</v>
      </c>
      <c r="Q7" s="58">
        <f>P7*(1+'[2]Assumption (Advisory)'!E$45)*(1+'[2]Assumption (Advisory)'!E$48)</f>
        <v>258961694.63579991</v>
      </c>
      <c r="R7" s="58">
        <f>Q7*(1+'[2]Assumption (Advisory)'!F$45)*(1+'[2]Assumption (Advisory)'!F$48)</f>
        <v>357367138.59740388</v>
      </c>
      <c r="S7" s="58">
        <f>R7*(1+'[2]Assumption (Advisory)'!G$45)*(1+'[2]Assumption (Advisory)'!G$48)</f>
        <v>493166651.26441729</v>
      </c>
      <c r="T7" s="58">
        <f>S7*(1+'[2]Assumption (Advisory)'!H$45)*(1+'[2]Assumption (Advisory)'!H$48)</f>
        <v>680569978.74489582</v>
      </c>
      <c r="U7" s="50"/>
    </row>
    <row r="8" spans="1:25" ht="16.5" thickBot="1" x14ac:dyDescent="0.4">
      <c r="B8" s="65"/>
      <c r="C8" s="65"/>
      <c r="D8" s="70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2"/>
      <c r="Q8" s="72"/>
      <c r="R8" s="72"/>
      <c r="S8" s="72"/>
      <c r="T8" s="72"/>
      <c r="U8" s="50"/>
    </row>
    <row r="9" spans="1:25" s="21" customFormat="1" ht="16.5" thickBot="1" x14ac:dyDescent="0.4">
      <c r="B9" s="65" t="s">
        <v>49</v>
      </c>
      <c r="C9" s="65"/>
      <c r="D9" s="70">
        <f t="shared" ref="D9:T9" si="0">SUM(D6:D7)</f>
        <v>20647783.492499996</v>
      </c>
      <c r="E9" s="70">
        <f t="shared" si="0"/>
        <v>22997783.492499996</v>
      </c>
      <c r="F9" s="70">
        <f t="shared" si="0"/>
        <v>20647783.492499996</v>
      </c>
      <c r="G9" s="70">
        <f t="shared" si="0"/>
        <v>22997783.492499996</v>
      </c>
      <c r="H9" s="70">
        <f t="shared" si="0"/>
        <v>20647783.492499996</v>
      </c>
      <c r="I9" s="70">
        <f t="shared" si="0"/>
        <v>22997783.492499996</v>
      </c>
      <c r="J9" s="70">
        <f t="shared" si="0"/>
        <v>20647783.492499996</v>
      </c>
      <c r="K9" s="70">
        <f t="shared" si="0"/>
        <v>22997783.492499996</v>
      </c>
      <c r="L9" s="70">
        <f t="shared" si="0"/>
        <v>20647783.492499996</v>
      </c>
      <c r="M9" s="70">
        <f t="shared" si="0"/>
        <v>22997783.492499996</v>
      </c>
      <c r="N9" s="70">
        <f t="shared" si="0"/>
        <v>20647783.492499996</v>
      </c>
      <c r="O9" s="70">
        <f t="shared" si="0"/>
        <v>22997783.492499996</v>
      </c>
      <c r="P9" s="70">
        <f t="shared" si="0"/>
        <v>261873401.90999997</v>
      </c>
      <c r="Q9" s="71">
        <f t="shared" si="0"/>
        <v>361385294.63579988</v>
      </c>
      <c r="R9" s="71">
        <f t="shared" si="0"/>
        <v>498711706.59740388</v>
      </c>
      <c r="S9" s="71">
        <f t="shared" si="0"/>
        <v>688222155.1044172</v>
      </c>
      <c r="T9" s="71">
        <f t="shared" si="0"/>
        <v>949746574.04409575</v>
      </c>
      <c r="U9" s="50"/>
      <c r="V9" s="26"/>
      <c r="W9" s="26"/>
      <c r="X9" s="26"/>
      <c r="Y9" s="26"/>
    </row>
    <row r="10" spans="1:25" x14ac:dyDescent="0.35"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69"/>
      <c r="Q10" s="46"/>
      <c r="R10" s="46"/>
      <c r="S10" s="46"/>
      <c r="T10" s="46"/>
      <c r="U10" s="50"/>
    </row>
    <row r="11" spans="1:25" ht="16.5" thickBot="1" x14ac:dyDescent="0.4">
      <c r="B11" s="65" t="s">
        <v>100</v>
      </c>
      <c r="C11" s="66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50"/>
    </row>
    <row r="12" spans="1:25" x14ac:dyDescent="0.35">
      <c r="B12" s="29" t="s">
        <v>66</v>
      </c>
      <c r="C12" s="73"/>
      <c r="D12" s="58">
        <f>VLOOKUP($B12,'Assumption (Corp Clinic)'!$B:$P,3,FALSE)</f>
        <v>7637974.2223749971</v>
      </c>
      <c r="E12" s="58">
        <f>D12</f>
        <v>7637974.2223749971</v>
      </c>
      <c r="F12" s="58">
        <f t="shared" ref="F12:O12" si="1">E12</f>
        <v>7637974.2223749971</v>
      </c>
      <c r="G12" s="58">
        <f t="shared" si="1"/>
        <v>7637974.2223749971</v>
      </c>
      <c r="H12" s="58">
        <f t="shared" si="1"/>
        <v>7637974.2223749971</v>
      </c>
      <c r="I12" s="58">
        <f t="shared" si="1"/>
        <v>7637974.2223749971</v>
      </c>
      <c r="J12" s="58">
        <f t="shared" si="1"/>
        <v>7637974.2223749971</v>
      </c>
      <c r="K12" s="58">
        <f t="shared" si="1"/>
        <v>7637974.2223749971</v>
      </c>
      <c r="L12" s="58">
        <f t="shared" si="1"/>
        <v>7637974.2223749971</v>
      </c>
      <c r="M12" s="58">
        <f t="shared" si="1"/>
        <v>7637974.2223749971</v>
      </c>
      <c r="N12" s="58">
        <f t="shared" si="1"/>
        <v>7637974.2223749971</v>
      </c>
      <c r="O12" s="58">
        <f t="shared" si="1"/>
        <v>7637974.2223749971</v>
      </c>
      <c r="P12" s="69">
        <f>SUM(D12:O12)</f>
        <v>91655690.668499947</v>
      </c>
      <c r="Q12" s="58"/>
      <c r="R12" s="58"/>
      <c r="S12" s="58"/>
      <c r="T12" s="58"/>
      <c r="U12" s="50"/>
    </row>
    <row r="13" spans="1:25" x14ac:dyDescent="0.35">
      <c r="B13" s="29" t="s">
        <v>67</v>
      </c>
      <c r="C13" s="49"/>
      <c r="D13" s="58">
        <f>VLOOKUP($B13,'Assumption (Corp Clinic)'!$B:$P,3,FALSE)/12</f>
        <v>437445.83333333331</v>
      </c>
      <c r="E13" s="58">
        <f t="shared" ref="E13:O15" si="2">D13</f>
        <v>437445.83333333331</v>
      </c>
      <c r="F13" s="58">
        <f t="shared" si="2"/>
        <v>437445.83333333331</v>
      </c>
      <c r="G13" s="58">
        <f t="shared" si="2"/>
        <v>437445.83333333331</v>
      </c>
      <c r="H13" s="58">
        <f t="shared" si="2"/>
        <v>437445.83333333331</v>
      </c>
      <c r="I13" s="58">
        <f t="shared" si="2"/>
        <v>437445.83333333331</v>
      </c>
      <c r="J13" s="58">
        <f t="shared" si="2"/>
        <v>437445.83333333331</v>
      </c>
      <c r="K13" s="58">
        <f t="shared" si="2"/>
        <v>437445.83333333331</v>
      </c>
      <c r="L13" s="58">
        <f t="shared" si="2"/>
        <v>437445.83333333331</v>
      </c>
      <c r="M13" s="58">
        <f t="shared" si="2"/>
        <v>437445.83333333331</v>
      </c>
      <c r="N13" s="58">
        <f t="shared" si="2"/>
        <v>437445.83333333331</v>
      </c>
      <c r="O13" s="58">
        <f t="shared" si="2"/>
        <v>437445.83333333331</v>
      </c>
      <c r="P13" s="69">
        <f t="shared" ref="P13:P15" si="3">SUM(D13:O13)</f>
        <v>5249350</v>
      </c>
      <c r="Q13" s="58">
        <f>P13*(1+'[2]Assumption (Advisory)'!E$45)*(1+'[2]Assumption (Advisory)'!E$48)</f>
        <v>7244102.9999999991</v>
      </c>
      <c r="R13" s="58">
        <f>Q13*(1+'[2]Assumption (Advisory)'!F$45)*(1+'[2]Assumption (Advisory)'!F$48)</f>
        <v>9996862.1399999969</v>
      </c>
      <c r="S13" s="58">
        <f>R13*(1+'[2]Assumption (Advisory)'!G$45)*(1+'[2]Assumption (Advisory)'!G$48)</f>
        <v>13795669.753199995</v>
      </c>
      <c r="T13" s="58">
        <f>S13*(1+'[2]Assumption (Advisory)'!H$45)*(1+'[2]Assumption (Advisory)'!H$48)</f>
        <v>19038024.259415992</v>
      </c>
      <c r="U13" s="50"/>
    </row>
    <row r="14" spans="1:25" x14ac:dyDescent="0.35">
      <c r="B14" s="29" t="s">
        <v>68</v>
      </c>
      <c r="C14" s="73"/>
      <c r="D14" s="58">
        <f>VLOOKUP($B14,'Assumption (Corp Clinic)'!$B:$P,3,FALSE)/12</f>
        <v>218227.83492499994</v>
      </c>
      <c r="E14" s="58">
        <f t="shared" si="2"/>
        <v>218227.83492499994</v>
      </c>
      <c r="F14" s="58">
        <f t="shared" si="2"/>
        <v>218227.83492499994</v>
      </c>
      <c r="G14" s="58">
        <f t="shared" si="2"/>
        <v>218227.83492499994</v>
      </c>
      <c r="H14" s="58">
        <f t="shared" si="2"/>
        <v>218227.83492499994</v>
      </c>
      <c r="I14" s="58">
        <f t="shared" si="2"/>
        <v>218227.83492499994</v>
      </c>
      <c r="J14" s="58">
        <f t="shared" si="2"/>
        <v>218227.83492499994</v>
      </c>
      <c r="K14" s="58">
        <f t="shared" si="2"/>
        <v>218227.83492499994</v>
      </c>
      <c r="L14" s="58">
        <f t="shared" si="2"/>
        <v>218227.83492499994</v>
      </c>
      <c r="M14" s="58">
        <f t="shared" si="2"/>
        <v>218227.83492499994</v>
      </c>
      <c r="N14" s="58">
        <f t="shared" si="2"/>
        <v>218227.83492499994</v>
      </c>
      <c r="O14" s="58">
        <f t="shared" si="2"/>
        <v>218227.83492499994</v>
      </c>
      <c r="P14" s="69">
        <f t="shared" si="3"/>
        <v>2618734.0190999992</v>
      </c>
      <c r="Q14" s="58">
        <f>P14*(1+'[2]Assumption (Advisory)'!E$45)*(1+'[2]Assumption (Advisory)'!E$48)</f>
        <v>3613852.9463579985</v>
      </c>
      <c r="R14" s="58">
        <f>Q14*(1+'[2]Assumption (Advisory)'!F$45)*(1+'[2]Assumption (Advisory)'!F$48)</f>
        <v>4987117.0659740372</v>
      </c>
      <c r="S14" s="58">
        <f>R14*(1+'[2]Assumption (Advisory)'!G$45)*(1+'[2]Assumption (Advisory)'!G$48)</f>
        <v>6882221.5510441707</v>
      </c>
      <c r="T14" s="58">
        <f>S14*(1+'[2]Assumption (Advisory)'!H$45)*(1+'[2]Assumption (Advisory)'!H$48)</f>
        <v>9497465.7404409554</v>
      </c>
      <c r="U14" s="50"/>
    </row>
    <row r="15" spans="1:25" x14ac:dyDescent="0.35">
      <c r="B15" s="29" t="s">
        <v>69</v>
      </c>
      <c r="C15" s="49"/>
      <c r="D15" s="58">
        <f>VLOOKUP($B15,'Assumption (Corp Clinic)'!$B:$P,3,FALSE)/12</f>
        <v>0</v>
      </c>
      <c r="E15" s="58">
        <f t="shared" si="2"/>
        <v>0</v>
      </c>
      <c r="F15" s="58">
        <f t="shared" si="2"/>
        <v>0</v>
      </c>
      <c r="G15" s="58">
        <f t="shared" si="2"/>
        <v>0</v>
      </c>
      <c r="H15" s="58">
        <f t="shared" si="2"/>
        <v>0</v>
      </c>
      <c r="I15" s="58">
        <f t="shared" si="2"/>
        <v>0</v>
      </c>
      <c r="J15" s="58">
        <f t="shared" si="2"/>
        <v>0</v>
      </c>
      <c r="K15" s="58">
        <f t="shared" si="2"/>
        <v>0</v>
      </c>
      <c r="L15" s="58">
        <f t="shared" si="2"/>
        <v>0</v>
      </c>
      <c r="M15" s="58">
        <f t="shared" si="2"/>
        <v>0</v>
      </c>
      <c r="N15" s="58">
        <f t="shared" si="2"/>
        <v>0</v>
      </c>
      <c r="O15" s="58">
        <f t="shared" si="2"/>
        <v>0</v>
      </c>
      <c r="P15" s="69">
        <f t="shared" si="3"/>
        <v>0</v>
      </c>
      <c r="Q15" s="58"/>
      <c r="R15" s="58">
        <f>Q15*(1+'[2]Assumption (Advisory)'!F$45)*(1+'[2]Assumption (Advisory)'!F$48)</f>
        <v>0</v>
      </c>
      <c r="S15" s="58">
        <f>R15*(1+'[2]Assumption (Advisory)'!G$45)*(1+'[2]Assumption (Advisory)'!G$48)</f>
        <v>0</v>
      </c>
      <c r="T15" s="58">
        <f>S15*(1+'[2]Assumption (Advisory)'!H$45)*(1+'[2]Assumption (Advisory)'!H$48)</f>
        <v>0</v>
      </c>
      <c r="U15" s="50"/>
    </row>
    <row r="16" spans="1:25" ht="16.5" thickBot="1" x14ac:dyDescent="0.4">
      <c r="B16" s="65"/>
      <c r="C16" s="65"/>
      <c r="D16" s="70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50"/>
    </row>
    <row r="17" spans="2:25" s="21" customFormat="1" ht="15" customHeight="1" thickBot="1" x14ac:dyDescent="0.4">
      <c r="B17" s="65" t="s">
        <v>101</v>
      </c>
      <c r="C17" s="65"/>
      <c r="D17" s="74">
        <f t="shared" ref="D17:T17" si="4">SUM(D12:D15)</f>
        <v>8293647.8906333297</v>
      </c>
      <c r="E17" s="74">
        <f t="shared" si="4"/>
        <v>8293647.8906333297</v>
      </c>
      <c r="F17" s="74">
        <f t="shared" si="4"/>
        <v>8293647.8906333297</v>
      </c>
      <c r="G17" s="74">
        <f t="shared" si="4"/>
        <v>8293647.8906333297</v>
      </c>
      <c r="H17" s="74">
        <f t="shared" si="4"/>
        <v>8293647.8906333297</v>
      </c>
      <c r="I17" s="74">
        <f t="shared" si="4"/>
        <v>8293647.8906333297</v>
      </c>
      <c r="J17" s="74">
        <f t="shared" si="4"/>
        <v>8293647.8906333297</v>
      </c>
      <c r="K17" s="74">
        <f t="shared" si="4"/>
        <v>8293647.8906333297</v>
      </c>
      <c r="L17" s="74">
        <f t="shared" si="4"/>
        <v>8293647.8906333297</v>
      </c>
      <c r="M17" s="74">
        <f t="shared" si="4"/>
        <v>8293647.8906333297</v>
      </c>
      <c r="N17" s="74">
        <f t="shared" si="4"/>
        <v>8293647.8906333297</v>
      </c>
      <c r="O17" s="74">
        <f t="shared" si="4"/>
        <v>8293647.8906333297</v>
      </c>
      <c r="P17" s="74">
        <f t="shared" si="4"/>
        <v>99523774.687599942</v>
      </c>
      <c r="Q17" s="72">
        <f t="shared" si="4"/>
        <v>10857955.946357997</v>
      </c>
      <c r="R17" s="72">
        <f t="shared" si="4"/>
        <v>14983979.205974035</v>
      </c>
      <c r="S17" s="72">
        <f t="shared" si="4"/>
        <v>20677891.304244164</v>
      </c>
      <c r="T17" s="72">
        <f t="shared" si="4"/>
        <v>28535489.999856949</v>
      </c>
      <c r="U17" s="50"/>
      <c r="V17" s="26"/>
      <c r="W17" s="26"/>
      <c r="X17" s="26"/>
      <c r="Y17" s="26"/>
    </row>
    <row r="18" spans="2:25" x14ac:dyDescent="0.35">
      <c r="D18" s="46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69"/>
      <c r="Q18" s="58"/>
      <c r="R18" s="58"/>
      <c r="S18" s="58"/>
      <c r="T18" s="58"/>
      <c r="U18" s="50"/>
    </row>
    <row r="19" spans="2:25" ht="16.5" thickBot="1" x14ac:dyDescent="0.4">
      <c r="B19" s="65" t="s">
        <v>11</v>
      </c>
      <c r="C19" s="75"/>
      <c r="D19" s="74">
        <f t="shared" ref="D19:T19" si="5">D9-D17</f>
        <v>12354135.601866666</v>
      </c>
      <c r="E19" s="74">
        <f t="shared" si="5"/>
        <v>14704135.601866666</v>
      </c>
      <c r="F19" s="74">
        <f t="shared" si="5"/>
        <v>12354135.601866666</v>
      </c>
      <c r="G19" s="74">
        <f t="shared" si="5"/>
        <v>14704135.601866666</v>
      </c>
      <c r="H19" s="74">
        <f t="shared" si="5"/>
        <v>12354135.601866666</v>
      </c>
      <c r="I19" s="74">
        <f t="shared" si="5"/>
        <v>14704135.601866666</v>
      </c>
      <c r="J19" s="74">
        <f t="shared" si="5"/>
        <v>12354135.601866666</v>
      </c>
      <c r="K19" s="74">
        <f t="shared" si="5"/>
        <v>14704135.601866666</v>
      </c>
      <c r="L19" s="74">
        <f t="shared" si="5"/>
        <v>12354135.601866666</v>
      </c>
      <c r="M19" s="74">
        <f t="shared" si="5"/>
        <v>14704135.601866666</v>
      </c>
      <c r="N19" s="74">
        <f t="shared" si="5"/>
        <v>12354135.601866666</v>
      </c>
      <c r="O19" s="74">
        <f t="shared" si="5"/>
        <v>14704135.601866666</v>
      </c>
      <c r="P19" s="76">
        <f t="shared" si="5"/>
        <v>162349627.22240001</v>
      </c>
      <c r="Q19" s="76">
        <f t="shared" si="5"/>
        <v>350527338.68944186</v>
      </c>
      <c r="R19" s="76">
        <f t="shared" si="5"/>
        <v>483727727.39142984</v>
      </c>
      <c r="S19" s="76">
        <f t="shared" si="5"/>
        <v>667544263.80017304</v>
      </c>
      <c r="T19" s="76">
        <f t="shared" si="5"/>
        <v>921211084.04423881</v>
      </c>
      <c r="U19" s="50"/>
    </row>
    <row r="20" spans="2:25" x14ac:dyDescent="0.35"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69"/>
      <c r="Q20" s="58"/>
      <c r="R20" s="58"/>
      <c r="S20" s="58"/>
      <c r="T20" s="58"/>
      <c r="U20" s="50"/>
    </row>
    <row r="21" spans="2:25" ht="16.5" thickBot="1" x14ac:dyDescent="0.4">
      <c r="B21" s="65" t="s">
        <v>102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50"/>
    </row>
    <row r="22" spans="2:25" x14ac:dyDescent="0.4">
      <c r="B22" s="19" t="s">
        <v>71</v>
      </c>
      <c r="C22" s="49"/>
      <c r="D22" s="58">
        <f>VLOOKUP($B22,'Assumption (Corp Clinic)'!$B:$P,3,FALSE)</f>
        <v>0</v>
      </c>
      <c r="E22" s="58">
        <f>D22</f>
        <v>0</v>
      </c>
      <c r="F22" s="58">
        <f t="shared" ref="F22:O22" si="6">E22</f>
        <v>0</v>
      </c>
      <c r="G22" s="58">
        <f t="shared" si="6"/>
        <v>0</v>
      </c>
      <c r="H22" s="58">
        <f t="shared" si="6"/>
        <v>0</v>
      </c>
      <c r="I22" s="58">
        <f t="shared" si="6"/>
        <v>0</v>
      </c>
      <c r="J22" s="58">
        <f t="shared" si="6"/>
        <v>0</v>
      </c>
      <c r="K22" s="58">
        <f t="shared" si="6"/>
        <v>0</v>
      </c>
      <c r="L22" s="58">
        <f t="shared" si="6"/>
        <v>0</v>
      </c>
      <c r="M22" s="58">
        <f t="shared" si="6"/>
        <v>0</v>
      </c>
      <c r="N22" s="58">
        <f t="shared" si="6"/>
        <v>0</v>
      </c>
      <c r="O22" s="58">
        <f t="shared" si="6"/>
        <v>0</v>
      </c>
      <c r="P22" s="69">
        <f>SUM(D22:O22)</f>
        <v>0</v>
      </c>
      <c r="Q22" s="58">
        <f>P22*(1+'[2]Assumption (Advisory)'!E$55)</f>
        <v>0</v>
      </c>
      <c r="R22" s="58">
        <f>Q22*(1+'[2]Assumption (Advisory)'!F$55)</f>
        <v>0</v>
      </c>
      <c r="S22" s="58">
        <f>R22*(1+'[2]Assumption (Advisory)'!G$55)</f>
        <v>0</v>
      </c>
      <c r="T22" s="58">
        <f>S22*(1+'[2]Assumption (Advisory)'!H$55)</f>
        <v>0</v>
      </c>
      <c r="U22" s="50"/>
    </row>
    <row r="23" spans="2:25" x14ac:dyDescent="0.4">
      <c r="B23" s="19" t="s">
        <v>73</v>
      </c>
      <c r="D23" s="58">
        <f>VLOOKUP($B23,'Assumption (Corp Clinic)'!$B:$P,3,FALSE)</f>
        <v>0</v>
      </c>
      <c r="E23" s="58">
        <f t="shared" ref="E23:O35" si="7">D23</f>
        <v>0</v>
      </c>
      <c r="F23" s="58">
        <f t="shared" si="7"/>
        <v>0</v>
      </c>
      <c r="G23" s="58">
        <f t="shared" si="7"/>
        <v>0</v>
      </c>
      <c r="H23" s="58">
        <f t="shared" si="7"/>
        <v>0</v>
      </c>
      <c r="I23" s="58">
        <f t="shared" si="7"/>
        <v>0</v>
      </c>
      <c r="J23" s="58">
        <f t="shared" si="7"/>
        <v>0</v>
      </c>
      <c r="K23" s="58">
        <f t="shared" si="7"/>
        <v>0</v>
      </c>
      <c r="L23" s="58">
        <f t="shared" si="7"/>
        <v>0</v>
      </c>
      <c r="M23" s="58">
        <f t="shared" si="7"/>
        <v>0</v>
      </c>
      <c r="N23" s="58">
        <f t="shared" si="7"/>
        <v>0</v>
      </c>
      <c r="O23" s="58">
        <f t="shared" si="7"/>
        <v>0</v>
      </c>
      <c r="P23" s="69">
        <f t="shared" ref="P23:P35" si="8">SUM(D23:O23)</f>
        <v>0</v>
      </c>
      <c r="Q23" s="58">
        <f>P23*(1+'[2]Assumption (Advisory)'!E$46)</f>
        <v>0</v>
      </c>
      <c r="R23" s="58">
        <f>Q23*(1+'[2]Assumption (Advisory)'!F$46)</f>
        <v>0</v>
      </c>
      <c r="S23" s="58">
        <f>R23*(1+'[2]Assumption (Advisory)'!G$46)</f>
        <v>0</v>
      </c>
      <c r="T23" s="58">
        <f>S23*(1+'[2]Assumption (Advisory)'!H$46)</f>
        <v>0</v>
      </c>
      <c r="U23" s="50"/>
    </row>
    <row r="24" spans="2:25" x14ac:dyDescent="0.4">
      <c r="B24" s="19" t="s">
        <v>77</v>
      </c>
      <c r="D24" s="58">
        <f>VLOOKUP($B24,'Assumption (Corp Clinic)'!$B:$P,3,FALSE)</f>
        <v>21822.783492499992</v>
      </c>
      <c r="E24" s="58">
        <f t="shared" si="7"/>
        <v>21822.783492499992</v>
      </c>
      <c r="F24" s="58">
        <f t="shared" si="7"/>
        <v>21822.783492499992</v>
      </c>
      <c r="G24" s="58">
        <f t="shared" si="7"/>
        <v>21822.783492499992</v>
      </c>
      <c r="H24" s="58">
        <f t="shared" si="7"/>
        <v>21822.783492499992</v>
      </c>
      <c r="I24" s="58">
        <f t="shared" si="7"/>
        <v>21822.783492499992</v>
      </c>
      <c r="J24" s="58">
        <f t="shared" si="7"/>
        <v>21822.783492499992</v>
      </c>
      <c r="K24" s="58">
        <f t="shared" si="7"/>
        <v>21822.783492499992</v>
      </c>
      <c r="L24" s="58">
        <f t="shared" si="7"/>
        <v>21822.783492499992</v>
      </c>
      <c r="M24" s="58">
        <f t="shared" si="7"/>
        <v>21822.783492499992</v>
      </c>
      <c r="N24" s="58">
        <f t="shared" si="7"/>
        <v>21822.783492499992</v>
      </c>
      <c r="O24" s="58">
        <f t="shared" si="7"/>
        <v>21822.783492499992</v>
      </c>
      <c r="P24" s="69">
        <f t="shared" si="8"/>
        <v>261873.4019099999</v>
      </c>
      <c r="Q24" s="58">
        <f>P24*(1+'[2]Assumption (Advisory)'!E$46)</f>
        <v>301154.41219649988</v>
      </c>
      <c r="R24" s="58">
        <f>Q24*(1+'[2]Assumption (Advisory)'!F$46)</f>
        <v>346327.57402597484</v>
      </c>
      <c r="S24" s="58">
        <f>R24*(1+'[2]Assumption (Advisory)'!G$46)</f>
        <v>398276.71012987103</v>
      </c>
      <c r="T24" s="58">
        <f>S24*(1+'[2]Assumption (Advisory)'!H$46)</f>
        <v>458018.21664935164</v>
      </c>
      <c r="U24" s="50"/>
    </row>
    <row r="25" spans="2:25" x14ac:dyDescent="0.4">
      <c r="B25" s="19" t="s">
        <v>80</v>
      </c>
      <c r="D25" s="58">
        <f>VLOOKUP($B25,'Assumption (Corp Clinic)'!$B:$P,3,FALSE)</f>
        <v>200000</v>
      </c>
      <c r="E25" s="58">
        <f t="shared" si="7"/>
        <v>200000</v>
      </c>
      <c r="F25" s="58">
        <f t="shared" si="7"/>
        <v>200000</v>
      </c>
      <c r="G25" s="58">
        <f t="shared" si="7"/>
        <v>200000</v>
      </c>
      <c r="H25" s="58">
        <f t="shared" si="7"/>
        <v>200000</v>
      </c>
      <c r="I25" s="58">
        <f t="shared" si="7"/>
        <v>200000</v>
      </c>
      <c r="J25" s="58">
        <f t="shared" si="7"/>
        <v>200000</v>
      </c>
      <c r="K25" s="58">
        <f t="shared" si="7"/>
        <v>200000</v>
      </c>
      <c r="L25" s="58">
        <f t="shared" si="7"/>
        <v>200000</v>
      </c>
      <c r="M25" s="58">
        <f t="shared" si="7"/>
        <v>200000</v>
      </c>
      <c r="N25" s="58">
        <f t="shared" si="7"/>
        <v>200000</v>
      </c>
      <c r="O25" s="58">
        <f t="shared" si="7"/>
        <v>200000</v>
      </c>
      <c r="P25" s="69">
        <f t="shared" si="8"/>
        <v>2400000</v>
      </c>
      <c r="Q25" s="58">
        <f>P25*(1+'[2]Assumption (Advisory)'!E$46)</f>
        <v>2760000</v>
      </c>
      <c r="R25" s="58">
        <f>Q25*(1+'[2]Assumption (Advisory)'!F$46)</f>
        <v>3173999.9999999995</v>
      </c>
      <c r="S25" s="58">
        <f>R25*(1+'[2]Assumption (Advisory)'!G$46)</f>
        <v>3650099.9999999991</v>
      </c>
      <c r="T25" s="58">
        <f>S25*(1+'[2]Assumption (Advisory)'!H$46)</f>
        <v>4197614.9999999991</v>
      </c>
      <c r="U25" s="50"/>
    </row>
    <row r="26" spans="2:25" x14ac:dyDescent="0.4">
      <c r="B26" s="19" t="s">
        <v>81</v>
      </c>
      <c r="D26" s="58">
        <f>VLOOKUP($B26,'Assumption (Corp Clinic)'!$B:$P,3,FALSE)</f>
        <v>0</v>
      </c>
      <c r="E26" s="58">
        <f t="shared" si="7"/>
        <v>0</v>
      </c>
      <c r="F26" s="58">
        <f t="shared" si="7"/>
        <v>0</v>
      </c>
      <c r="G26" s="58">
        <f t="shared" si="7"/>
        <v>0</v>
      </c>
      <c r="H26" s="58">
        <f t="shared" si="7"/>
        <v>0</v>
      </c>
      <c r="I26" s="58">
        <f t="shared" si="7"/>
        <v>0</v>
      </c>
      <c r="J26" s="58">
        <f t="shared" si="7"/>
        <v>0</v>
      </c>
      <c r="K26" s="58">
        <f t="shared" si="7"/>
        <v>0</v>
      </c>
      <c r="L26" s="58">
        <f t="shared" si="7"/>
        <v>0</v>
      </c>
      <c r="M26" s="58">
        <f t="shared" si="7"/>
        <v>0</v>
      </c>
      <c r="N26" s="58">
        <f t="shared" si="7"/>
        <v>0</v>
      </c>
      <c r="O26" s="58">
        <f t="shared" si="7"/>
        <v>0</v>
      </c>
      <c r="P26" s="69">
        <f t="shared" si="8"/>
        <v>0</v>
      </c>
      <c r="Q26" s="58">
        <f>P26*(1+'[2]Assumption (Advisory)'!E$46)</f>
        <v>0</v>
      </c>
      <c r="R26" s="58">
        <f>Q26*(1+'[2]Assumption (Advisory)'!F$46)</f>
        <v>0</v>
      </c>
      <c r="S26" s="58">
        <f>R26*(1+'[2]Assumption (Advisory)'!G$46)</f>
        <v>0</v>
      </c>
      <c r="T26" s="58">
        <f>S26*(1+'[2]Assumption (Advisory)'!H$46)</f>
        <v>0</v>
      </c>
      <c r="U26" s="50"/>
    </row>
    <row r="27" spans="2:25" x14ac:dyDescent="0.4">
      <c r="B27" s="19" t="s">
        <v>82</v>
      </c>
      <c r="D27" s="58">
        <f>VLOOKUP($B27,'Assumption (Corp Clinic)'!$B:$P,3,FALSE)</f>
        <v>125000</v>
      </c>
      <c r="E27" s="58">
        <f t="shared" si="7"/>
        <v>125000</v>
      </c>
      <c r="F27" s="58">
        <f t="shared" si="7"/>
        <v>125000</v>
      </c>
      <c r="G27" s="58">
        <f t="shared" si="7"/>
        <v>125000</v>
      </c>
      <c r="H27" s="58">
        <f t="shared" si="7"/>
        <v>125000</v>
      </c>
      <c r="I27" s="58">
        <f t="shared" si="7"/>
        <v>125000</v>
      </c>
      <c r="J27" s="58">
        <f t="shared" si="7"/>
        <v>125000</v>
      </c>
      <c r="K27" s="58">
        <f t="shared" si="7"/>
        <v>125000</v>
      </c>
      <c r="L27" s="58">
        <f t="shared" si="7"/>
        <v>125000</v>
      </c>
      <c r="M27" s="58">
        <f t="shared" si="7"/>
        <v>125000</v>
      </c>
      <c r="N27" s="58">
        <f t="shared" si="7"/>
        <v>125000</v>
      </c>
      <c r="O27" s="58">
        <f t="shared" si="7"/>
        <v>125000</v>
      </c>
      <c r="P27" s="69">
        <f t="shared" si="8"/>
        <v>1500000</v>
      </c>
      <c r="Q27" s="58">
        <f>P27*(1+'[2]Assumption (Advisory)'!E$46)</f>
        <v>1724999.9999999998</v>
      </c>
      <c r="R27" s="58">
        <f>Q27*(1+'[2]Assumption (Advisory)'!F$46)</f>
        <v>1983749.9999999995</v>
      </c>
      <c r="S27" s="58">
        <f>R27*(1+'[2]Assumption (Advisory)'!G$46)</f>
        <v>2281312.4999999991</v>
      </c>
      <c r="T27" s="58">
        <f>S27*(1+'[2]Assumption (Advisory)'!H$46)</f>
        <v>2623509.3749999986</v>
      </c>
      <c r="U27" s="50"/>
    </row>
    <row r="28" spans="2:25" x14ac:dyDescent="0.4">
      <c r="B28" s="19" t="s">
        <v>83</v>
      </c>
      <c r="D28" s="58">
        <f>VLOOKUP($B28,'Assumption (Corp Clinic)'!$B:$P,3,FALSE)</f>
        <v>0</v>
      </c>
      <c r="E28" s="58">
        <f t="shared" si="7"/>
        <v>0</v>
      </c>
      <c r="F28" s="58">
        <f t="shared" si="7"/>
        <v>0</v>
      </c>
      <c r="G28" s="58">
        <f t="shared" si="7"/>
        <v>0</v>
      </c>
      <c r="H28" s="58">
        <f t="shared" si="7"/>
        <v>0</v>
      </c>
      <c r="I28" s="58">
        <f t="shared" si="7"/>
        <v>0</v>
      </c>
      <c r="J28" s="58">
        <f t="shared" si="7"/>
        <v>0</v>
      </c>
      <c r="K28" s="58">
        <f t="shared" si="7"/>
        <v>0</v>
      </c>
      <c r="L28" s="58">
        <f t="shared" si="7"/>
        <v>0</v>
      </c>
      <c r="M28" s="58">
        <f t="shared" si="7"/>
        <v>0</v>
      </c>
      <c r="N28" s="58">
        <f t="shared" si="7"/>
        <v>0</v>
      </c>
      <c r="O28" s="58">
        <f t="shared" si="7"/>
        <v>0</v>
      </c>
      <c r="P28" s="69">
        <f t="shared" si="8"/>
        <v>0</v>
      </c>
      <c r="Q28" s="58">
        <f>P28*(1+'[2]Assumption (Advisory)'!E$46)</f>
        <v>0</v>
      </c>
      <c r="R28" s="58">
        <f>Q28*(1+'[2]Assumption (Advisory)'!F$46)</f>
        <v>0</v>
      </c>
      <c r="S28" s="58">
        <f>R28*(1+'[2]Assumption (Advisory)'!G$46)</f>
        <v>0</v>
      </c>
      <c r="T28" s="58">
        <f>S28*(1+'[2]Assumption (Advisory)'!H$46)</f>
        <v>0</v>
      </c>
      <c r="U28" s="50"/>
    </row>
    <row r="29" spans="2:25" x14ac:dyDescent="0.4">
      <c r="B29" s="19" t="s">
        <v>85</v>
      </c>
      <c r="D29" s="58">
        <f>VLOOKUP($B29,'Assumption (Corp Clinic)'!$B:$P,3,FALSE)</f>
        <v>0</v>
      </c>
      <c r="E29" s="58">
        <f t="shared" si="7"/>
        <v>0</v>
      </c>
      <c r="F29" s="58">
        <f t="shared" si="7"/>
        <v>0</v>
      </c>
      <c r="G29" s="58">
        <f t="shared" si="7"/>
        <v>0</v>
      </c>
      <c r="H29" s="58">
        <f t="shared" si="7"/>
        <v>0</v>
      </c>
      <c r="I29" s="58">
        <f t="shared" si="7"/>
        <v>0</v>
      </c>
      <c r="J29" s="58">
        <f t="shared" si="7"/>
        <v>0</v>
      </c>
      <c r="K29" s="58">
        <f t="shared" si="7"/>
        <v>0</v>
      </c>
      <c r="L29" s="58">
        <f t="shared" si="7"/>
        <v>0</v>
      </c>
      <c r="M29" s="58">
        <f t="shared" si="7"/>
        <v>0</v>
      </c>
      <c r="N29" s="58">
        <f t="shared" si="7"/>
        <v>0</v>
      </c>
      <c r="O29" s="58">
        <f t="shared" si="7"/>
        <v>0</v>
      </c>
      <c r="P29" s="69">
        <f t="shared" si="8"/>
        <v>0</v>
      </c>
      <c r="Q29" s="58">
        <f>P29*(1+'[2]Assumption (Advisory)'!E$46)</f>
        <v>0</v>
      </c>
      <c r="R29" s="58">
        <f>Q29*(1+'[2]Assumption (Advisory)'!F$46)</f>
        <v>0</v>
      </c>
      <c r="S29" s="58">
        <f>R29*(1+'[2]Assumption (Advisory)'!G$46)</f>
        <v>0</v>
      </c>
      <c r="T29" s="58">
        <f>S29*(1+'[2]Assumption (Advisory)'!H$46)</f>
        <v>0</v>
      </c>
      <c r="U29" s="50"/>
    </row>
    <row r="30" spans="2:25" x14ac:dyDescent="0.4">
      <c r="B30" s="19" t="s">
        <v>87</v>
      </c>
      <c r="D30" s="58">
        <f>VLOOKUP($B30,'Assumption (Corp Clinic)'!$B:$P,3,FALSE)</f>
        <v>0</v>
      </c>
      <c r="E30" s="58">
        <f t="shared" si="7"/>
        <v>0</v>
      </c>
      <c r="F30" s="58">
        <f t="shared" si="7"/>
        <v>0</v>
      </c>
      <c r="G30" s="58">
        <f t="shared" si="7"/>
        <v>0</v>
      </c>
      <c r="H30" s="58">
        <f t="shared" si="7"/>
        <v>0</v>
      </c>
      <c r="I30" s="58">
        <f t="shared" si="7"/>
        <v>0</v>
      </c>
      <c r="J30" s="58">
        <f t="shared" si="7"/>
        <v>0</v>
      </c>
      <c r="K30" s="58">
        <f t="shared" si="7"/>
        <v>0</v>
      </c>
      <c r="L30" s="58">
        <f t="shared" si="7"/>
        <v>0</v>
      </c>
      <c r="M30" s="58">
        <f t="shared" si="7"/>
        <v>0</v>
      </c>
      <c r="N30" s="58">
        <f t="shared" si="7"/>
        <v>0</v>
      </c>
      <c r="O30" s="58">
        <f t="shared" si="7"/>
        <v>0</v>
      </c>
      <c r="P30" s="69">
        <f t="shared" si="8"/>
        <v>0</v>
      </c>
      <c r="Q30" s="58">
        <f>P30*(1+'[2]Assumption (Advisory)'!E$46)</f>
        <v>0</v>
      </c>
      <c r="R30" s="58">
        <f>Q30*(1+'[2]Assumption (Advisory)'!F$46)</f>
        <v>0</v>
      </c>
      <c r="S30" s="58">
        <f>R30*(1+'[2]Assumption (Advisory)'!G$46)</f>
        <v>0</v>
      </c>
      <c r="T30" s="58">
        <f>S30*(1+'[2]Assumption (Advisory)'!H$46)</f>
        <v>0</v>
      </c>
      <c r="U30" s="50"/>
    </row>
    <row r="31" spans="2:25" x14ac:dyDescent="0.4">
      <c r="B31" s="19" t="s">
        <v>89</v>
      </c>
      <c r="D31" s="58">
        <f>VLOOKUP($B31,'Assumption (Corp Clinic)'!$B:$P,3,FALSE)</f>
        <v>0</v>
      </c>
      <c r="E31" s="58">
        <f t="shared" si="7"/>
        <v>0</v>
      </c>
      <c r="F31" s="58">
        <f t="shared" si="7"/>
        <v>0</v>
      </c>
      <c r="G31" s="58">
        <f t="shared" si="7"/>
        <v>0</v>
      </c>
      <c r="H31" s="58">
        <f t="shared" si="7"/>
        <v>0</v>
      </c>
      <c r="I31" s="58">
        <f t="shared" si="7"/>
        <v>0</v>
      </c>
      <c r="J31" s="58">
        <f t="shared" si="7"/>
        <v>0</v>
      </c>
      <c r="K31" s="58">
        <f t="shared" si="7"/>
        <v>0</v>
      </c>
      <c r="L31" s="58">
        <f t="shared" si="7"/>
        <v>0</v>
      </c>
      <c r="M31" s="58">
        <f t="shared" si="7"/>
        <v>0</v>
      </c>
      <c r="N31" s="58">
        <f t="shared" si="7"/>
        <v>0</v>
      </c>
      <c r="O31" s="58">
        <f t="shared" si="7"/>
        <v>0</v>
      </c>
      <c r="P31" s="69">
        <f t="shared" si="8"/>
        <v>0</v>
      </c>
      <c r="Q31" s="58">
        <f>P31*(1+'[2]Assumption (Advisory)'!E$46)</f>
        <v>0</v>
      </c>
      <c r="R31" s="58">
        <f>Q31*(1+'[2]Assumption (Advisory)'!F$46)</f>
        <v>0</v>
      </c>
      <c r="S31" s="58">
        <f>R31*(1+'[2]Assumption (Advisory)'!G$46)</f>
        <v>0</v>
      </c>
      <c r="T31" s="58">
        <f>S31*(1+'[2]Assumption (Advisory)'!H$46)</f>
        <v>0</v>
      </c>
      <c r="U31" s="50"/>
    </row>
    <row r="32" spans="2:25" x14ac:dyDescent="0.4">
      <c r="B32" s="19" t="s">
        <v>91</v>
      </c>
      <c r="D32" s="58">
        <f>VLOOKUP($B32,'Assumption (Corp Clinic)'!$B:$P,3,FALSE)</f>
        <v>200000</v>
      </c>
      <c r="E32" s="58">
        <f t="shared" si="7"/>
        <v>200000</v>
      </c>
      <c r="F32" s="58">
        <f t="shared" si="7"/>
        <v>200000</v>
      </c>
      <c r="G32" s="58">
        <f t="shared" si="7"/>
        <v>200000</v>
      </c>
      <c r="H32" s="58">
        <f t="shared" si="7"/>
        <v>200000</v>
      </c>
      <c r="I32" s="58">
        <f t="shared" si="7"/>
        <v>200000</v>
      </c>
      <c r="J32" s="58">
        <f t="shared" si="7"/>
        <v>200000</v>
      </c>
      <c r="K32" s="58">
        <f t="shared" si="7"/>
        <v>200000</v>
      </c>
      <c r="L32" s="58">
        <f t="shared" si="7"/>
        <v>200000</v>
      </c>
      <c r="M32" s="58">
        <f t="shared" si="7"/>
        <v>200000</v>
      </c>
      <c r="N32" s="58">
        <f t="shared" si="7"/>
        <v>200000</v>
      </c>
      <c r="O32" s="58">
        <f t="shared" si="7"/>
        <v>200000</v>
      </c>
      <c r="P32" s="69">
        <f t="shared" si="8"/>
        <v>2400000</v>
      </c>
      <c r="Q32" s="58">
        <f>P32*(1+'[2]Assumption (Advisory)'!E$46)</f>
        <v>2760000</v>
      </c>
      <c r="R32" s="58">
        <f>Q32*(1+'[2]Assumption (Advisory)'!F$46)</f>
        <v>3173999.9999999995</v>
      </c>
      <c r="S32" s="58">
        <f>R32*(1+'[2]Assumption (Advisory)'!G$46)</f>
        <v>3650099.9999999991</v>
      </c>
      <c r="T32" s="58">
        <f>S32*(1+'[2]Assumption (Advisory)'!H$46)</f>
        <v>4197614.9999999991</v>
      </c>
      <c r="U32" s="50"/>
    </row>
    <row r="33" spans="2:21" x14ac:dyDescent="0.4">
      <c r="B33" s="19" t="s">
        <v>93</v>
      </c>
      <c r="D33" s="58">
        <f>VLOOKUP($B33,'Assumption (Corp Clinic)'!$B:$P,3,FALSE)</f>
        <v>120000</v>
      </c>
      <c r="E33" s="58">
        <f t="shared" si="7"/>
        <v>120000</v>
      </c>
      <c r="F33" s="58">
        <f t="shared" si="7"/>
        <v>120000</v>
      </c>
      <c r="G33" s="58">
        <f t="shared" si="7"/>
        <v>120000</v>
      </c>
      <c r="H33" s="58">
        <f t="shared" si="7"/>
        <v>120000</v>
      </c>
      <c r="I33" s="58">
        <f t="shared" si="7"/>
        <v>120000</v>
      </c>
      <c r="J33" s="58">
        <f t="shared" si="7"/>
        <v>120000</v>
      </c>
      <c r="K33" s="58">
        <f t="shared" si="7"/>
        <v>120000</v>
      </c>
      <c r="L33" s="58">
        <f t="shared" si="7"/>
        <v>120000</v>
      </c>
      <c r="M33" s="58">
        <f t="shared" si="7"/>
        <v>120000</v>
      </c>
      <c r="N33" s="58">
        <f t="shared" si="7"/>
        <v>120000</v>
      </c>
      <c r="O33" s="58">
        <f t="shared" si="7"/>
        <v>120000</v>
      </c>
      <c r="P33" s="69">
        <f t="shared" si="8"/>
        <v>1440000</v>
      </c>
      <c r="Q33" s="58">
        <f>P33*(1+'[2]Assumption (Advisory)'!E$46)</f>
        <v>1655999.9999999998</v>
      </c>
      <c r="R33" s="58">
        <f>Q33*(1+'[2]Assumption (Advisory)'!F$46)</f>
        <v>1904399.9999999995</v>
      </c>
      <c r="S33" s="58">
        <f>R33*(1+'[2]Assumption (Advisory)'!G$46)</f>
        <v>2190059.9999999991</v>
      </c>
      <c r="T33" s="58">
        <f>S33*(1+'[2]Assumption (Advisory)'!H$46)</f>
        <v>2518568.9999999986</v>
      </c>
      <c r="U33" s="50"/>
    </row>
    <row r="34" spans="2:21" x14ac:dyDescent="0.35">
      <c r="B34" s="29" t="s">
        <v>94</v>
      </c>
      <c r="D34" s="58">
        <f>VLOOKUP($B34,'Assumption (Corp Clinic)'!$B:$P,3,FALSE)</f>
        <v>125000</v>
      </c>
      <c r="E34" s="58">
        <f t="shared" si="7"/>
        <v>125000</v>
      </c>
      <c r="F34" s="58">
        <f t="shared" si="7"/>
        <v>125000</v>
      </c>
      <c r="G34" s="58">
        <f t="shared" si="7"/>
        <v>125000</v>
      </c>
      <c r="H34" s="58">
        <f t="shared" si="7"/>
        <v>125000</v>
      </c>
      <c r="I34" s="58">
        <f t="shared" si="7"/>
        <v>125000</v>
      </c>
      <c r="J34" s="58">
        <f t="shared" si="7"/>
        <v>125000</v>
      </c>
      <c r="K34" s="58">
        <f t="shared" si="7"/>
        <v>125000</v>
      </c>
      <c r="L34" s="58">
        <f t="shared" si="7"/>
        <v>125000</v>
      </c>
      <c r="M34" s="58">
        <f t="shared" si="7"/>
        <v>125000</v>
      </c>
      <c r="N34" s="58">
        <f t="shared" si="7"/>
        <v>125000</v>
      </c>
      <c r="O34" s="58">
        <f t="shared" si="7"/>
        <v>125000</v>
      </c>
      <c r="P34" s="69">
        <f t="shared" si="8"/>
        <v>1500000</v>
      </c>
      <c r="Q34" s="58">
        <f>P34*(1+'[2]Assumption (Advisory)'!E$46)</f>
        <v>1724999.9999999998</v>
      </c>
      <c r="R34" s="58">
        <f>Q34*(1+'[2]Assumption (Advisory)'!F$46)</f>
        <v>1983749.9999999995</v>
      </c>
      <c r="S34" s="58">
        <f>R34*(1+'[2]Assumption (Advisory)'!G$46)</f>
        <v>2281312.4999999991</v>
      </c>
      <c r="T34" s="58">
        <f>S34*(1+'[2]Assumption (Advisory)'!H$46)</f>
        <v>2623509.3749999986</v>
      </c>
      <c r="U34" s="50"/>
    </row>
    <row r="35" spans="2:21" x14ac:dyDescent="0.35">
      <c r="B35" s="29" t="s">
        <v>95</v>
      </c>
      <c r="D35" s="58">
        <f>VLOOKUP($B35,'Assumption (Corp Clinic)'!$B:$P,3,FALSE)</f>
        <v>700000</v>
      </c>
      <c r="E35" s="58">
        <f t="shared" si="7"/>
        <v>700000</v>
      </c>
      <c r="F35" s="58">
        <f t="shared" si="7"/>
        <v>700000</v>
      </c>
      <c r="G35" s="58">
        <f t="shared" si="7"/>
        <v>700000</v>
      </c>
      <c r="H35" s="58">
        <f t="shared" si="7"/>
        <v>700000</v>
      </c>
      <c r="I35" s="58">
        <f t="shared" si="7"/>
        <v>700000</v>
      </c>
      <c r="J35" s="58">
        <f t="shared" si="7"/>
        <v>700000</v>
      </c>
      <c r="K35" s="58">
        <f t="shared" si="7"/>
        <v>700000</v>
      </c>
      <c r="L35" s="58">
        <f t="shared" si="7"/>
        <v>700000</v>
      </c>
      <c r="M35" s="58">
        <f t="shared" si="7"/>
        <v>700000</v>
      </c>
      <c r="N35" s="58">
        <f t="shared" si="7"/>
        <v>700000</v>
      </c>
      <c r="O35" s="58">
        <f t="shared" si="7"/>
        <v>700000</v>
      </c>
      <c r="P35" s="69">
        <f t="shared" si="8"/>
        <v>8400000</v>
      </c>
      <c r="Q35" s="58">
        <f>P35*(1+'[2]Assumption (Advisory)'!E$46)</f>
        <v>9660000</v>
      </c>
      <c r="R35" s="58">
        <f>Q35*(1+'[2]Assumption (Advisory)'!F$46)</f>
        <v>11109000</v>
      </c>
      <c r="S35" s="58">
        <f>R35*(1+'[2]Assumption (Advisory)'!G$46)</f>
        <v>12775349.999999998</v>
      </c>
      <c r="T35" s="58">
        <f>S35*(1+'[2]Assumption (Advisory)'!H$46)</f>
        <v>14691652.499999996</v>
      </c>
      <c r="U35" s="50"/>
    </row>
    <row r="36" spans="2:21" ht="16.5" thickBot="1" x14ac:dyDescent="0.4">
      <c r="B36" s="71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50"/>
    </row>
    <row r="37" spans="2:21" ht="16.5" thickBot="1" x14ac:dyDescent="0.4">
      <c r="B37" s="77" t="s">
        <v>103</v>
      </c>
      <c r="C37" s="70"/>
      <c r="D37" s="78">
        <f>SUM(D22:D35)</f>
        <v>1491822.7834925</v>
      </c>
      <c r="E37" s="78">
        <f t="shared" ref="E37:T37" si="9">SUM(E22:E35)</f>
        <v>1491822.7834925</v>
      </c>
      <c r="F37" s="78">
        <f t="shared" si="9"/>
        <v>1491822.7834925</v>
      </c>
      <c r="G37" s="78">
        <f t="shared" si="9"/>
        <v>1491822.7834925</v>
      </c>
      <c r="H37" s="78">
        <f t="shared" si="9"/>
        <v>1491822.7834925</v>
      </c>
      <c r="I37" s="78">
        <f t="shared" si="9"/>
        <v>1491822.7834925</v>
      </c>
      <c r="J37" s="78">
        <f t="shared" si="9"/>
        <v>1491822.7834925</v>
      </c>
      <c r="K37" s="78">
        <f t="shared" si="9"/>
        <v>1491822.7834925</v>
      </c>
      <c r="L37" s="78">
        <f t="shared" si="9"/>
        <v>1491822.7834925</v>
      </c>
      <c r="M37" s="78">
        <f t="shared" si="9"/>
        <v>1491822.7834925</v>
      </c>
      <c r="N37" s="78">
        <f t="shared" si="9"/>
        <v>1491822.7834925</v>
      </c>
      <c r="O37" s="78">
        <f t="shared" si="9"/>
        <v>1491822.7834925</v>
      </c>
      <c r="P37" s="78">
        <f t="shared" si="9"/>
        <v>17901873.40191</v>
      </c>
      <c r="Q37" s="78">
        <f t="shared" si="9"/>
        <v>20587154.412196498</v>
      </c>
      <c r="R37" s="78">
        <f t="shared" si="9"/>
        <v>23675227.574025974</v>
      </c>
      <c r="S37" s="78">
        <f t="shared" si="9"/>
        <v>27226511.710129865</v>
      </c>
      <c r="T37" s="78">
        <f t="shared" si="9"/>
        <v>31310488.466649342</v>
      </c>
      <c r="U37" s="50"/>
    </row>
    <row r="38" spans="2:21" ht="16.5" thickBot="1" x14ac:dyDescent="0.4">
      <c r="B38" s="71"/>
      <c r="C38" s="70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50"/>
    </row>
    <row r="39" spans="2:21" ht="16.5" thickBot="1" x14ac:dyDescent="0.4">
      <c r="B39" s="77" t="s">
        <v>104</v>
      </c>
      <c r="C39" s="70"/>
      <c r="D39" s="78">
        <f t="shared" ref="D39:T39" si="10">D19-D37</f>
        <v>10862312.818374166</v>
      </c>
      <c r="E39" s="78">
        <f t="shared" si="10"/>
        <v>13212312.818374166</v>
      </c>
      <c r="F39" s="78">
        <f t="shared" si="10"/>
        <v>10862312.818374166</v>
      </c>
      <c r="G39" s="78">
        <f t="shared" si="10"/>
        <v>13212312.818374166</v>
      </c>
      <c r="H39" s="78">
        <f t="shared" si="10"/>
        <v>10862312.818374166</v>
      </c>
      <c r="I39" s="78">
        <f t="shared" si="10"/>
        <v>13212312.818374166</v>
      </c>
      <c r="J39" s="78">
        <f t="shared" si="10"/>
        <v>10862312.818374166</v>
      </c>
      <c r="K39" s="78">
        <f t="shared" si="10"/>
        <v>13212312.818374166</v>
      </c>
      <c r="L39" s="78">
        <f t="shared" si="10"/>
        <v>10862312.818374166</v>
      </c>
      <c r="M39" s="78">
        <f t="shared" si="10"/>
        <v>13212312.818374166</v>
      </c>
      <c r="N39" s="78">
        <f t="shared" si="10"/>
        <v>10862312.818374166</v>
      </c>
      <c r="O39" s="78">
        <f t="shared" si="10"/>
        <v>13212312.818374166</v>
      </c>
      <c r="P39" s="78">
        <f t="shared" si="10"/>
        <v>144447753.82049</v>
      </c>
      <c r="Q39" s="78">
        <f t="shared" si="10"/>
        <v>329940184.27724534</v>
      </c>
      <c r="R39" s="78">
        <f t="shared" si="10"/>
        <v>460052499.81740385</v>
      </c>
      <c r="S39" s="78">
        <f t="shared" si="10"/>
        <v>640317752.09004319</v>
      </c>
      <c r="T39" s="78">
        <f t="shared" si="10"/>
        <v>889900595.57758951</v>
      </c>
      <c r="U39" s="50"/>
    </row>
    <row r="40" spans="2:21" x14ac:dyDescent="0.35">
      <c r="B40" s="29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69"/>
      <c r="Q40" s="58"/>
      <c r="R40" s="58"/>
      <c r="S40" s="58"/>
      <c r="T40" s="58"/>
      <c r="U40" s="50"/>
    </row>
    <row r="41" spans="2:21" x14ac:dyDescent="0.35">
      <c r="B41" s="29" t="s">
        <v>94</v>
      </c>
      <c r="D41" s="58">
        <f>VLOOKUP($B41,'Assumption (Corp Clinic)'!$B:$P,3,FALSE)</f>
        <v>125000</v>
      </c>
      <c r="E41" s="58">
        <f t="shared" ref="E41" si="11">D41</f>
        <v>125000</v>
      </c>
      <c r="F41" s="58">
        <f t="shared" ref="F41" si="12">E41</f>
        <v>125000</v>
      </c>
      <c r="G41" s="58">
        <f t="shared" ref="G41" si="13">F41</f>
        <v>125000</v>
      </c>
      <c r="H41" s="58">
        <f t="shared" ref="H41" si="14">G41</f>
        <v>125000</v>
      </c>
      <c r="I41" s="58">
        <f t="shared" ref="I41" si="15">H41</f>
        <v>125000</v>
      </c>
      <c r="J41" s="58">
        <f t="shared" ref="J41" si="16">I41</f>
        <v>125000</v>
      </c>
      <c r="K41" s="58">
        <f t="shared" ref="K41" si="17">J41</f>
        <v>125000</v>
      </c>
      <c r="L41" s="58">
        <f t="shared" ref="L41" si="18">K41</f>
        <v>125000</v>
      </c>
      <c r="M41" s="58">
        <f t="shared" ref="M41" si="19">L41</f>
        <v>125000</v>
      </c>
      <c r="N41" s="58">
        <f t="shared" ref="N41" si="20">M41</f>
        <v>125000</v>
      </c>
      <c r="O41" s="58">
        <f t="shared" ref="O41" si="21">N41</f>
        <v>125000</v>
      </c>
      <c r="P41" s="69">
        <f t="shared" ref="P41" si="22">SUM(D41:O41)</f>
        <v>1500000</v>
      </c>
      <c r="Q41" s="58">
        <f>P41*(1+'[2]Assumption (Advisory)'!E$46)</f>
        <v>1724999.9999999998</v>
      </c>
      <c r="R41" s="58">
        <f>Q41*(1+'[2]Assumption (Advisory)'!F$46)</f>
        <v>1983749.9999999995</v>
      </c>
      <c r="S41" s="58">
        <f>R41*(1+'[2]Assumption (Advisory)'!G$46)</f>
        <v>2281312.4999999991</v>
      </c>
      <c r="T41" s="58">
        <f>S41*(1+'[2]Assumption (Advisory)'!H$46)</f>
        <v>2623509.3749999986</v>
      </c>
      <c r="U41" s="50"/>
    </row>
    <row r="42" spans="2:21" ht="16.5" thickBot="1" x14ac:dyDescent="0.4">
      <c r="B42" s="71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58"/>
      <c r="R42" s="58"/>
      <c r="S42" s="58"/>
      <c r="T42" s="58"/>
      <c r="U42" s="50"/>
    </row>
    <row r="43" spans="2:21" ht="16.5" thickBot="1" x14ac:dyDescent="0.4">
      <c r="B43" s="77" t="s">
        <v>105</v>
      </c>
      <c r="C43" s="70"/>
      <c r="D43" s="78">
        <f>D39-D41</f>
        <v>10737312.818374166</v>
      </c>
      <c r="E43" s="78">
        <f t="shared" ref="E43:O43" si="23">E39-E41</f>
        <v>13087312.818374166</v>
      </c>
      <c r="F43" s="78">
        <f t="shared" si="23"/>
        <v>10737312.818374166</v>
      </c>
      <c r="G43" s="78">
        <f t="shared" si="23"/>
        <v>13087312.818374166</v>
      </c>
      <c r="H43" s="78">
        <f t="shared" si="23"/>
        <v>10737312.818374166</v>
      </c>
      <c r="I43" s="78">
        <f t="shared" si="23"/>
        <v>13087312.818374166</v>
      </c>
      <c r="J43" s="78">
        <f t="shared" si="23"/>
        <v>10737312.818374166</v>
      </c>
      <c r="K43" s="78">
        <f t="shared" si="23"/>
        <v>13087312.818374166</v>
      </c>
      <c r="L43" s="78">
        <f t="shared" si="23"/>
        <v>10737312.818374166</v>
      </c>
      <c r="M43" s="78">
        <f t="shared" si="23"/>
        <v>13087312.818374166</v>
      </c>
      <c r="N43" s="78">
        <f t="shared" si="23"/>
        <v>10737312.818374166</v>
      </c>
      <c r="O43" s="78">
        <f t="shared" si="23"/>
        <v>13087312.818374166</v>
      </c>
      <c r="P43" s="78">
        <f>P39-P41</f>
        <v>142947753.82049</v>
      </c>
      <c r="Q43" s="78">
        <f t="shared" ref="Q43:T43" si="24">Q39-Q41</f>
        <v>328215184.27724534</v>
      </c>
      <c r="R43" s="78">
        <f t="shared" si="24"/>
        <v>458068749.81740385</v>
      </c>
      <c r="S43" s="78">
        <f t="shared" si="24"/>
        <v>638036439.59004319</v>
      </c>
      <c r="T43" s="78">
        <f t="shared" si="24"/>
        <v>887277086.20258951</v>
      </c>
      <c r="U43" s="50"/>
    </row>
    <row r="44" spans="2:21" ht="16.5" hidden="1" thickBot="1" x14ac:dyDescent="0.4">
      <c r="B44" s="65"/>
      <c r="C44" s="75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81"/>
      <c r="Q44" s="58"/>
      <c r="R44" s="58"/>
      <c r="S44" s="58"/>
      <c r="T44" s="58"/>
      <c r="U44" s="50"/>
    </row>
    <row r="45" spans="2:21" ht="16.5" hidden="1" thickBot="1" x14ac:dyDescent="0.4">
      <c r="B45" s="65" t="s">
        <v>106</v>
      </c>
      <c r="C45" s="75"/>
      <c r="D45" s="78">
        <f>D43</f>
        <v>10737312.818374166</v>
      </c>
      <c r="E45" s="78">
        <f>D45+E43</f>
        <v>23824625.636748333</v>
      </c>
      <c r="F45" s="78">
        <f t="shared" ref="F45:O45" si="25">E45+F43</f>
        <v>34561938.455122501</v>
      </c>
      <c r="G45" s="78">
        <f t="shared" si="25"/>
        <v>47649251.273496665</v>
      </c>
      <c r="H45" s="78">
        <f t="shared" si="25"/>
        <v>58386564.091870829</v>
      </c>
      <c r="I45" s="78">
        <f t="shared" si="25"/>
        <v>71473876.910245001</v>
      </c>
      <c r="J45" s="78">
        <f t="shared" si="25"/>
        <v>82211189.728619173</v>
      </c>
      <c r="K45" s="78">
        <f t="shared" si="25"/>
        <v>95298502.546993345</v>
      </c>
      <c r="L45" s="78">
        <f t="shared" si="25"/>
        <v>106035815.36536752</v>
      </c>
      <c r="M45" s="78">
        <f t="shared" si="25"/>
        <v>119123128.18374169</v>
      </c>
      <c r="N45" s="78">
        <f t="shared" si="25"/>
        <v>129860441.00211586</v>
      </c>
      <c r="O45" s="78">
        <f t="shared" si="25"/>
        <v>142947753.82049003</v>
      </c>
      <c r="P45" s="78">
        <f>P43</f>
        <v>142947753.82049</v>
      </c>
      <c r="Q45" s="76">
        <f>P45+Q39</f>
        <v>472887938.09773535</v>
      </c>
      <c r="R45" s="76">
        <f>Q45+R39</f>
        <v>932940437.9151392</v>
      </c>
      <c r="S45" s="76">
        <f>R45+S39</f>
        <v>1573258190.0051823</v>
      </c>
      <c r="T45" s="76">
        <f>S45+T39</f>
        <v>2463158785.5827718</v>
      </c>
      <c r="U45" s="50"/>
    </row>
    <row r="46" spans="2:21" ht="16.5" hidden="1" outlineLevel="1" thickBot="1" x14ac:dyDescent="0.4">
      <c r="B46" s="65"/>
      <c r="C46" s="75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81"/>
      <c r="Q46" s="76"/>
      <c r="R46" s="76"/>
      <c r="S46" s="76"/>
      <c r="T46" s="76"/>
      <c r="U46" s="50"/>
    </row>
    <row r="47" spans="2:21" ht="16.5" hidden="1" outlineLevel="1" thickBot="1" x14ac:dyDescent="0.4">
      <c r="B47" s="65" t="s">
        <v>107</v>
      </c>
      <c r="C47" s="75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81"/>
      <c r="Q47" s="76"/>
      <c r="R47" s="76"/>
      <c r="S47" s="76"/>
      <c r="T47" s="76"/>
      <c r="U47" s="50"/>
    </row>
    <row r="48" spans="2:21" ht="16.5" hidden="1" outlineLevel="1" thickBot="1" x14ac:dyDescent="0.4">
      <c r="B48" s="65"/>
      <c r="C48" s="75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81"/>
      <c r="Q48" s="76"/>
      <c r="R48" s="76"/>
      <c r="S48" s="76"/>
      <c r="T48" s="76"/>
      <c r="U48" s="50"/>
    </row>
    <row r="49" spans="2:21" ht="16.5" hidden="1" outlineLevel="1" thickBot="1" x14ac:dyDescent="0.4">
      <c r="B49" s="65" t="s">
        <v>108</v>
      </c>
      <c r="C49" s="75"/>
      <c r="D49" s="78">
        <f>D45-D47</f>
        <v>10737312.818374166</v>
      </c>
      <c r="E49" s="78">
        <f t="shared" ref="E49:O49" si="26">E45-E47</f>
        <v>23824625.636748333</v>
      </c>
      <c r="F49" s="78">
        <f t="shared" si="26"/>
        <v>34561938.455122501</v>
      </c>
      <c r="G49" s="78">
        <f t="shared" si="26"/>
        <v>47649251.273496665</v>
      </c>
      <c r="H49" s="78">
        <f t="shared" si="26"/>
        <v>58386564.091870829</v>
      </c>
      <c r="I49" s="78">
        <f t="shared" si="26"/>
        <v>71473876.910245001</v>
      </c>
      <c r="J49" s="78">
        <f t="shared" si="26"/>
        <v>82211189.728619173</v>
      </c>
      <c r="K49" s="78">
        <f t="shared" si="26"/>
        <v>95298502.546993345</v>
      </c>
      <c r="L49" s="78">
        <f t="shared" si="26"/>
        <v>106035815.36536752</v>
      </c>
      <c r="M49" s="78">
        <f t="shared" si="26"/>
        <v>119123128.18374169</v>
      </c>
      <c r="N49" s="78">
        <f t="shared" si="26"/>
        <v>129860441.00211586</v>
      </c>
      <c r="O49" s="78">
        <f t="shared" si="26"/>
        <v>142947753.82049003</v>
      </c>
      <c r="P49" s="81">
        <f>P45-P47</f>
        <v>142947753.82049</v>
      </c>
      <c r="Q49" s="76">
        <f t="shared" ref="Q49:T49" si="27">Q45-Q47</f>
        <v>472887938.09773535</v>
      </c>
      <c r="R49" s="76">
        <f t="shared" si="27"/>
        <v>932940437.9151392</v>
      </c>
      <c r="S49" s="76">
        <f t="shared" si="27"/>
        <v>1573258190.0051823</v>
      </c>
      <c r="T49" s="76">
        <f t="shared" si="27"/>
        <v>2463158785.5827718</v>
      </c>
      <c r="U49" s="50"/>
    </row>
    <row r="50" spans="2:21" ht="16.5" hidden="1" outlineLevel="1" thickBot="1" x14ac:dyDescent="0.4">
      <c r="B50" s="65"/>
      <c r="C50" s="75"/>
      <c r="D50" s="66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6"/>
      <c r="Q50" s="76"/>
      <c r="R50" s="76"/>
      <c r="S50" s="76"/>
      <c r="T50" s="76"/>
      <c r="U50" s="50"/>
    </row>
    <row r="51" spans="2:21" ht="16.5" hidden="1" collapsed="1" thickBot="1" x14ac:dyDescent="0.4">
      <c r="B51" s="65" t="s">
        <v>109</v>
      </c>
      <c r="C51" s="75"/>
      <c r="D51" s="66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66" t="str">
        <f>IF(P49&gt;0,"1 Year"," ")</f>
        <v>1 Year</v>
      </c>
      <c r="Q51" s="66" t="str">
        <f>IF(Q49&gt;0,"2 Year"," ")</f>
        <v>2 Year</v>
      </c>
      <c r="R51" s="66" t="str">
        <f>IF(R49&gt;0,"3 Year"," ")</f>
        <v>3 Year</v>
      </c>
      <c r="S51" s="66" t="str">
        <f>IF(S49&gt;0,"4 Year"," ")</f>
        <v>4 Year</v>
      </c>
      <c r="T51" s="66" t="str">
        <f>IF(T49&gt;0,"5 Year"," ")</f>
        <v>5 Year</v>
      </c>
    </row>
  </sheetData>
  <pageMargins left="0.7" right="0.7" top="0.75" bottom="0.75" header="0.3" footer="0.3"/>
  <pageSetup scale="3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EA04-8BF0-4831-A23D-4F990614F346}">
  <dimension ref="A1:P30"/>
  <sheetViews>
    <sheetView showGridLines="0" workbookViewId="0">
      <pane ySplit="1" topLeftCell="A2" activePane="bottomLeft" state="frozen"/>
      <selection activeCell="B1" sqref="B1:N1048576"/>
      <selection pane="bottomLeft" activeCell="B1" sqref="B1:N1048576"/>
    </sheetView>
  </sheetViews>
  <sheetFormatPr defaultColWidth="8.90625" defaultRowHeight="16" x14ac:dyDescent="0.4"/>
  <cols>
    <col min="1" max="1" width="21.36328125" style="1" customWidth="1"/>
    <col min="2" max="2" width="13.90625" style="2" bestFit="1" customWidth="1"/>
    <col min="3" max="3" width="0.54296875" style="2" customWidth="1"/>
    <col min="4" max="4" width="13.90625" style="2" bestFit="1" customWidth="1"/>
    <col min="5" max="5" width="0.54296875" style="2" customWidth="1"/>
    <col min="6" max="6" width="15.54296875" style="2" bestFit="1" customWidth="1"/>
    <col min="7" max="7" width="0.54296875" style="2" customWidth="1"/>
    <col min="8" max="8" width="13.81640625" style="2" bestFit="1" customWidth="1"/>
    <col min="9" max="9" width="0.54296875" style="2" customWidth="1"/>
    <col min="10" max="10" width="12.453125" style="2" bestFit="1" customWidth="1"/>
    <col min="11" max="11" width="0.54296875" style="2" customWidth="1"/>
    <col min="12" max="12" width="13" style="2" bestFit="1" customWidth="1"/>
    <col min="13" max="13" width="0.54296875" style="2" customWidth="1"/>
    <col min="14" max="14" width="13.81640625" style="2" bestFit="1" customWidth="1"/>
    <col min="15" max="16" width="8.90625" style="2"/>
    <col min="17" max="16384" width="8.90625" style="1"/>
  </cols>
  <sheetData>
    <row r="1" spans="1:16" ht="32" x14ac:dyDescent="0.4">
      <c r="B1" s="14" t="s">
        <v>4</v>
      </c>
      <c r="C1" s="14"/>
      <c r="D1" s="14" t="s">
        <v>6</v>
      </c>
      <c r="E1" s="14"/>
      <c r="F1" s="14" t="s">
        <v>7</v>
      </c>
      <c r="G1" s="14"/>
      <c r="H1" s="14" t="s">
        <v>5</v>
      </c>
      <c r="I1" s="14"/>
      <c r="J1" s="15" t="s">
        <v>8</v>
      </c>
      <c r="K1" s="15"/>
      <c r="L1" s="14" t="s">
        <v>9</v>
      </c>
      <c r="M1" s="14"/>
      <c r="N1" s="14" t="s">
        <v>10</v>
      </c>
    </row>
    <row r="2" spans="1:16" x14ac:dyDescent="0.4">
      <c r="B2" s="13" t="s">
        <v>15</v>
      </c>
      <c r="C2" s="14"/>
      <c r="D2" s="13" t="s">
        <v>15</v>
      </c>
      <c r="E2" s="14"/>
      <c r="F2" s="13" t="s">
        <v>15</v>
      </c>
      <c r="G2" s="13"/>
      <c r="H2" s="13" t="s">
        <v>15</v>
      </c>
      <c r="I2" s="13"/>
      <c r="J2" s="13" t="s">
        <v>15</v>
      </c>
      <c r="K2" s="13"/>
      <c r="L2" s="13" t="s">
        <v>15</v>
      </c>
      <c r="M2" s="13"/>
      <c r="N2" s="13" t="s">
        <v>15</v>
      </c>
    </row>
    <row r="3" spans="1:16" x14ac:dyDescent="0.4">
      <c r="A3" s="1" t="s">
        <v>0</v>
      </c>
      <c r="B3" s="2">
        <f>'[3]Computations-(MedSupplies)'!$P$8</f>
        <v>1280000000</v>
      </c>
      <c r="C3" s="14"/>
      <c r="D3" s="2">
        <f>'[4]Computations-(MedFit)'!$P$8</f>
        <v>1158862754.4000001</v>
      </c>
      <c r="E3" s="14"/>
      <c r="F3" s="2">
        <f>'[5]Computations (MedClinic)'!$P$9</f>
        <v>2576213401.9100008</v>
      </c>
      <c r="H3" s="2">
        <f>'[5]Computations (Advisory)'!$P$9</f>
        <v>736999999.99999988</v>
      </c>
      <c r="J3" s="2">
        <f>'[6]Computations-Outputs'!$P$11</f>
        <v>123285000</v>
      </c>
      <c r="L3" s="2">
        <f>'[7]Computations-(OH)'!$P$9</f>
        <v>127965000</v>
      </c>
      <c r="N3" s="2">
        <f>'[8]Computations-(MedFit)'!$P$8</f>
        <v>482339150.00000089</v>
      </c>
    </row>
    <row r="4" spans="1:16" x14ac:dyDescent="0.4">
      <c r="C4" s="14"/>
      <c r="E4" s="14"/>
    </row>
    <row r="5" spans="1:16" x14ac:dyDescent="0.4">
      <c r="A5" s="1" t="s">
        <v>1</v>
      </c>
      <c r="B5" s="2">
        <f>-'[3]Computations-(MedSupplies)'!$P$16</f>
        <v>-697200000</v>
      </c>
      <c r="C5" s="14"/>
      <c r="D5" s="2">
        <f>-'[4]Computations-(MedFit)'!$P$16</f>
        <v>-572554219.12800002</v>
      </c>
      <c r="E5" s="14"/>
      <c r="F5" s="2">
        <f>-'[5]Computations (MedClinic)'!$P$17</f>
        <v>-932686174.68759978</v>
      </c>
      <c r="H5" s="2">
        <f>-'[5]Computations (Advisory)'!$P$17</f>
        <v>-412469999.99999988</v>
      </c>
      <c r="J5" s="2">
        <f>-'[6]Computations-Outputs'!$P$19</f>
        <v>-46848300</v>
      </c>
      <c r="L5" s="2">
        <f>-'[7]Computations-(OH)'!$P$17</f>
        <v>-65973372.2685</v>
      </c>
      <c r="N5" s="2">
        <f>-'[8]Computations-(MedFit)'!$P$16</f>
        <v>0</v>
      </c>
    </row>
    <row r="6" spans="1:16" s="9" customFormat="1" x14ac:dyDescent="0.4">
      <c r="A6" s="9" t="s">
        <v>13</v>
      </c>
      <c r="B6" s="12">
        <f>-IFERROR(B5/B3,0)</f>
        <v>0.54468749999999999</v>
      </c>
      <c r="C6" s="14"/>
      <c r="D6" s="12">
        <f t="shared" ref="D6:N6" si="0">-IFERROR(D5/D3,0)</f>
        <v>0.49406559746105511</v>
      </c>
      <c r="E6" s="14"/>
      <c r="F6" s="12">
        <f t="shared" si="0"/>
        <v>0.36203762234763148</v>
      </c>
      <c r="G6" s="12"/>
      <c r="H6" s="12">
        <f t="shared" si="0"/>
        <v>0.55966078697421973</v>
      </c>
      <c r="I6" s="12"/>
      <c r="J6" s="12">
        <f t="shared" si="0"/>
        <v>0.38</v>
      </c>
      <c r="K6" s="12"/>
      <c r="L6" s="12">
        <f t="shared" si="0"/>
        <v>0.51555794372289299</v>
      </c>
      <c r="M6" s="12"/>
      <c r="N6" s="12">
        <f t="shared" si="0"/>
        <v>0</v>
      </c>
      <c r="O6" s="11"/>
      <c r="P6" s="11"/>
    </row>
    <row r="7" spans="1:16" x14ac:dyDescent="0.4">
      <c r="B7" s="6"/>
      <c r="C7" s="14"/>
      <c r="D7" s="6"/>
      <c r="E7" s="14"/>
      <c r="F7" s="6"/>
      <c r="G7" s="5"/>
      <c r="H7" s="6"/>
      <c r="I7" s="5"/>
      <c r="J7" s="6"/>
      <c r="K7" s="5"/>
      <c r="L7" s="6"/>
      <c r="M7" s="5"/>
      <c r="N7" s="6"/>
    </row>
    <row r="8" spans="1:16" x14ac:dyDescent="0.4">
      <c r="A8" s="1" t="s">
        <v>11</v>
      </c>
      <c r="B8" s="7">
        <f>SUM(B3:B5)</f>
        <v>582800000</v>
      </c>
      <c r="C8" s="14"/>
      <c r="D8" s="7">
        <f>SUM(D3:D5)</f>
        <v>586308535.27200007</v>
      </c>
      <c r="E8" s="14"/>
      <c r="F8" s="7">
        <f t="shared" ref="F8:N8" si="1">SUM(F3:F5)</f>
        <v>1643527227.2224011</v>
      </c>
      <c r="G8" s="7"/>
      <c r="H8" s="7">
        <f t="shared" si="1"/>
        <v>324530000</v>
      </c>
      <c r="I8" s="7"/>
      <c r="J8" s="7">
        <f t="shared" si="1"/>
        <v>76436700</v>
      </c>
      <c r="K8" s="7"/>
      <c r="L8" s="7">
        <f t="shared" si="1"/>
        <v>61991627.7315</v>
      </c>
      <c r="M8" s="7"/>
      <c r="N8" s="7">
        <f t="shared" si="1"/>
        <v>482339150.00000089</v>
      </c>
    </row>
    <row r="9" spans="1:16" s="9" customFormat="1" x14ac:dyDescent="0.4">
      <c r="A9" s="9" t="s">
        <v>12</v>
      </c>
      <c r="B9" s="10">
        <f>IFERROR(B8/B3,0)</f>
        <v>0.45531250000000001</v>
      </c>
      <c r="C9" s="14"/>
      <c r="D9" s="10">
        <f t="shared" ref="D9:N9" si="2">IFERROR(D8/D3,0)</f>
        <v>0.50593440253894484</v>
      </c>
      <c r="E9" s="14"/>
      <c r="F9" s="10">
        <f t="shared" si="2"/>
        <v>0.63796237765236863</v>
      </c>
      <c r="G9" s="12"/>
      <c r="H9" s="10">
        <f t="shared" si="2"/>
        <v>0.44033921302578027</v>
      </c>
      <c r="I9" s="12"/>
      <c r="J9" s="10">
        <f t="shared" si="2"/>
        <v>0.62</v>
      </c>
      <c r="K9" s="12"/>
      <c r="L9" s="10">
        <f t="shared" si="2"/>
        <v>0.48444205627710701</v>
      </c>
      <c r="M9" s="12"/>
      <c r="N9" s="10">
        <f t="shared" si="2"/>
        <v>1</v>
      </c>
      <c r="O9" s="11"/>
      <c r="P9" s="11"/>
    </row>
    <row r="10" spans="1:16" x14ac:dyDescent="0.4">
      <c r="B10" s="4"/>
      <c r="C10" s="14"/>
      <c r="D10" s="4"/>
      <c r="E10" s="14"/>
      <c r="F10" s="4"/>
      <c r="G10" s="5"/>
      <c r="H10" s="4"/>
      <c r="I10" s="5"/>
      <c r="J10" s="4"/>
      <c r="K10" s="5"/>
      <c r="L10" s="4"/>
      <c r="M10" s="5"/>
      <c r="N10" s="4"/>
    </row>
    <row r="11" spans="1:16" x14ac:dyDescent="0.4">
      <c r="A11" s="1" t="s">
        <v>2</v>
      </c>
      <c r="B11" s="2">
        <f>-'[3]Computations-(MedSupplies)'!$P$37-'[3]Computations-(MedSupplies)'!$P$41</f>
        <v>-48493254</v>
      </c>
      <c r="C11" s="14"/>
      <c r="D11" s="2">
        <f>-'[4]Computations-(MedFit)'!$P$37-'[4]Computations-(MedFit)'!$P$41</f>
        <v>-89750617.065204009</v>
      </c>
      <c r="E11" s="14"/>
      <c r="F11" s="2">
        <f>-'[5]Computations (MedClinic)'!$P$39-'[5]Computations (MedClinic)'!$P$43</f>
        <v>-282722967.99878991</v>
      </c>
      <c r="H11" s="2">
        <f>-'[5]Computations (Advisory)'!$P$36-'[5]Computations (Advisory)'!$P$40</f>
        <v>-15942400</v>
      </c>
      <c r="J11" s="2">
        <f>-'[6]Computations-Outputs'!$P$38-'[6]Computations-Outputs'!$P$42</f>
        <v>-31556135</v>
      </c>
      <c r="L11" s="2">
        <f>-'[7]Computations-(OH)'!$P$35-'[7]Computations-(OH)'!$P$39</f>
        <v>-7475331.9815042503</v>
      </c>
      <c r="N11" s="2">
        <f>-'[8]Computations-(MedFit)'!$P$37-'[8]Computations-(MedFit)'!$P$41</f>
        <v>0</v>
      </c>
    </row>
    <row r="12" spans="1:16" s="9" customFormat="1" x14ac:dyDescent="0.4">
      <c r="A12" s="9" t="s">
        <v>14</v>
      </c>
      <c r="B12" s="10">
        <f>-IFERROR(B11/B3,0)</f>
        <v>3.7885354687499997E-2</v>
      </c>
      <c r="C12" s="14"/>
      <c r="D12" s="10">
        <f t="shared" ref="D12:N12" si="3">-IFERROR(D11/D3,0)</f>
        <v>7.7447149564895887E-2</v>
      </c>
      <c r="E12" s="14"/>
      <c r="F12" s="10">
        <f t="shared" si="3"/>
        <v>0.10974361354893175</v>
      </c>
      <c r="G12" s="12"/>
      <c r="H12" s="10">
        <f t="shared" si="3"/>
        <v>2.1631478968792407E-2</v>
      </c>
      <c r="I12" s="12"/>
      <c r="J12" s="10">
        <f t="shared" si="3"/>
        <v>0.25596086304092142</v>
      </c>
      <c r="K12" s="12"/>
      <c r="L12" s="10">
        <f t="shared" si="3"/>
        <v>5.8417004505171337E-2</v>
      </c>
      <c r="M12" s="12"/>
      <c r="N12" s="10">
        <f t="shared" si="3"/>
        <v>0</v>
      </c>
      <c r="O12" s="11"/>
      <c r="P12" s="11"/>
    </row>
    <row r="13" spans="1:16" x14ac:dyDescent="0.4">
      <c r="C13" s="14"/>
      <c r="E13" s="14"/>
    </row>
    <row r="14" spans="1:16" ht="16.5" thickBot="1" x14ac:dyDescent="0.45">
      <c r="A14" s="8" t="s">
        <v>3</v>
      </c>
      <c r="B14" s="3">
        <f>SUM(B8:B11)</f>
        <v>534306746.45531249</v>
      </c>
      <c r="C14" s="14"/>
      <c r="D14" s="3">
        <f>SUM(D8:D11)</f>
        <v>496557918.71273041</v>
      </c>
      <c r="E14" s="14"/>
      <c r="F14" s="3">
        <f t="shared" ref="F14:N14" si="4">SUM(F8:F11)</f>
        <v>1360804259.8615737</v>
      </c>
      <c r="G14" s="7"/>
      <c r="H14" s="3">
        <f t="shared" si="4"/>
        <v>308587600.44033921</v>
      </c>
      <c r="I14" s="7"/>
      <c r="J14" s="3">
        <f t="shared" si="4"/>
        <v>44880565.620000005</v>
      </c>
      <c r="K14" s="7"/>
      <c r="L14" s="3">
        <f t="shared" si="4"/>
        <v>54516296.234437808</v>
      </c>
      <c r="M14" s="7"/>
      <c r="N14" s="3">
        <f t="shared" si="4"/>
        <v>482339151.00000089</v>
      </c>
    </row>
    <row r="15" spans="1:16" x14ac:dyDescent="0.4">
      <c r="C15" s="14"/>
      <c r="E15" s="14"/>
    </row>
    <row r="16" spans="1:16" x14ac:dyDescent="0.4">
      <c r="C16" s="14"/>
      <c r="E16" s="14"/>
    </row>
    <row r="17" spans="3:5" x14ac:dyDescent="0.4">
      <c r="C17" s="14"/>
      <c r="E17" s="14"/>
    </row>
    <row r="18" spans="3:5" x14ac:dyDescent="0.4">
      <c r="C18" s="14"/>
      <c r="E18" s="14"/>
    </row>
    <row r="19" spans="3:5" x14ac:dyDescent="0.4">
      <c r="C19" s="14"/>
      <c r="E19" s="14"/>
    </row>
    <row r="20" spans="3:5" x14ac:dyDescent="0.4">
      <c r="C20" s="14"/>
      <c r="E20" s="14"/>
    </row>
    <row r="21" spans="3:5" x14ac:dyDescent="0.4">
      <c r="C21" s="14"/>
    </row>
    <row r="22" spans="3:5" x14ac:dyDescent="0.4">
      <c r="C22" s="14"/>
    </row>
    <row r="23" spans="3:5" x14ac:dyDescent="0.4">
      <c r="C23" s="14"/>
    </row>
    <row r="24" spans="3:5" x14ac:dyDescent="0.4">
      <c r="C24" s="14"/>
    </row>
    <row r="25" spans="3:5" x14ac:dyDescent="0.4">
      <c r="C25" s="14"/>
    </row>
    <row r="26" spans="3:5" x14ac:dyDescent="0.4">
      <c r="C26" s="14"/>
    </row>
    <row r="27" spans="3:5" x14ac:dyDescent="0.4">
      <c r="C27" s="14"/>
    </row>
    <row r="28" spans="3:5" x14ac:dyDescent="0.4">
      <c r="C28" s="14"/>
    </row>
    <row r="29" spans="3:5" x14ac:dyDescent="0.4">
      <c r="C29" s="14"/>
    </row>
    <row r="30" spans="3:5" x14ac:dyDescent="0.4">
      <c r="C30" s="14"/>
    </row>
  </sheetData>
  <pageMargins left="0.7" right="0.7" top="0.75" bottom="0.75" header="0.3" footer="0.3"/>
  <ignoredErrors>
    <ignoredError sqref="J11 N11 B11 D11 F11 H1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2C47-3AEC-4E63-B5B4-A74763B18B4C}">
  <sheetPr>
    <tabColor theme="4" tint="0.59999389629810485"/>
  </sheetPr>
  <dimension ref="B1:V94"/>
  <sheetViews>
    <sheetView zoomScale="115" zoomScaleNormal="115" workbookViewId="0">
      <pane xSplit="3" ySplit="2" topLeftCell="D58" activePane="bottomRight" state="frozen"/>
      <selection activeCell="D79" sqref="D79"/>
      <selection pane="topRight" activeCell="D79" sqref="D79"/>
      <selection pane="bottomLeft" activeCell="D79" sqref="D79"/>
      <selection pane="bottomRight" activeCell="D79" sqref="D79"/>
    </sheetView>
  </sheetViews>
  <sheetFormatPr defaultColWidth="8.90625" defaultRowHeight="16" x14ac:dyDescent="0.4"/>
  <cols>
    <col min="1" max="1" width="1" style="19" customWidth="1"/>
    <col min="2" max="2" width="35.08984375" style="29" bestFit="1" customWidth="1"/>
    <col min="3" max="3" width="7.90625" style="26" bestFit="1" customWidth="1"/>
    <col min="4" max="4" width="15.6328125" style="26" bestFit="1" customWidth="1"/>
    <col min="5" max="8" width="13.54296875" style="26" bestFit="1" customWidth="1"/>
    <col min="9" max="9" width="15.54296875" style="26" bestFit="1" customWidth="1"/>
    <col min="10" max="13" width="13.54296875" style="26" bestFit="1" customWidth="1"/>
    <col min="14" max="15" width="14.36328125" style="26" bestFit="1" customWidth="1"/>
    <col min="16" max="16" width="16.1796875" style="26" bestFit="1" customWidth="1"/>
    <col min="17" max="17" width="12.81640625" style="19" customWidth="1"/>
    <col min="18" max="18" width="17.1796875" style="19" bestFit="1" customWidth="1"/>
    <col min="19" max="19" width="8.90625" style="19"/>
    <col min="20" max="20" width="9.90625" style="19" bestFit="1" customWidth="1"/>
    <col min="21" max="21" width="11.6328125" style="19" bestFit="1" customWidth="1"/>
    <col min="22" max="16384" width="8.90625" style="19"/>
  </cols>
  <sheetData>
    <row r="1" spans="2:17" x14ac:dyDescent="0.4">
      <c r="B1" s="16" t="s">
        <v>7</v>
      </c>
      <c r="C1" s="17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7"/>
    </row>
    <row r="2" spans="2:17" x14ac:dyDescent="0.4">
      <c r="B2" s="20" t="s">
        <v>16</v>
      </c>
      <c r="C2" s="21"/>
      <c r="D2" s="22" t="s">
        <v>17</v>
      </c>
      <c r="E2" s="22" t="s">
        <v>18</v>
      </c>
      <c r="F2" s="22" t="s">
        <v>19</v>
      </c>
      <c r="G2" s="22" t="s">
        <v>20</v>
      </c>
      <c r="H2" s="22" t="s">
        <v>21</v>
      </c>
      <c r="I2" s="22" t="s">
        <v>22</v>
      </c>
      <c r="J2" s="22" t="s">
        <v>23</v>
      </c>
      <c r="K2" s="22" t="s">
        <v>24</v>
      </c>
      <c r="L2" s="22" t="s">
        <v>25</v>
      </c>
      <c r="M2" s="22" t="s">
        <v>26</v>
      </c>
      <c r="N2" s="22" t="s">
        <v>27</v>
      </c>
      <c r="O2" s="22" t="s">
        <v>28</v>
      </c>
      <c r="P2" s="21" t="s">
        <v>29</v>
      </c>
    </row>
    <row r="3" spans="2:17" x14ac:dyDescent="0.4">
      <c r="B3" s="23" t="s">
        <v>30</v>
      </c>
      <c r="C3" s="21"/>
      <c r="D3" s="24">
        <f t="shared" ref="D3:P3" si="0">SUM(D4:D5)</f>
        <v>0</v>
      </c>
      <c r="E3" s="24">
        <f t="shared" si="0"/>
        <v>0</v>
      </c>
      <c r="F3" s="24">
        <f t="shared" si="0"/>
        <v>0</v>
      </c>
      <c r="G3" s="24">
        <f t="shared" si="0"/>
        <v>0</v>
      </c>
      <c r="H3" s="24">
        <f t="shared" si="0"/>
        <v>0</v>
      </c>
      <c r="I3" s="24">
        <f t="shared" si="0"/>
        <v>0</v>
      </c>
      <c r="J3" s="24">
        <f t="shared" si="0"/>
        <v>0</v>
      </c>
      <c r="K3" s="24">
        <f t="shared" si="0"/>
        <v>0</v>
      </c>
      <c r="L3" s="24">
        <f t="shared" si="0"/>
        <v>0</v>
      </c>
      <c r="M3" s="24">
        <f t="shared" si="0"/>
        <v>0</v>
      </c>
      <c r="N3" s="24">
        <f t="shared" si="0"/>
        <v>0</v>
      </c>
      <c r="O3" s="24">
        <f t="shared" si="0"/>
        <v>0</v>
      </c>
      <c r="P3" s="24">
        <f t="shared" si="0"/>
        <v>0</v>
      </c>
    </row>
    <row r="4" spans="2:17" x14ac:dyDescent="0.4">
      <c r="B4" s="25" t="s">
        <v>31</v>
      </c>
      <c r="D4" s="27">
        <f t="shared" ref="D4:O11" si="1">D27*D47</f>
        <v>0</v>
      </c>
      <c r="E4" s="27">
        <f t="shared" si="1"/>
        <v>0</v>
      </c>
      <c r="F4" s="27">
        <f t="shared" si="1"/>
        <v>0</v>
      </c>
      <c r="G4" s="27">
        <f t="shared" si="1"/>
        <v>0</v>
      </c>
      <c r="H4" s="27">
        <f t="shared" si="1"/>
        <v>0</v>
      </c>
      <c r="I4" s="27">
        <f t="shared" si="1"/>
        <v>0</v>
      </c>
      <c r="J4" s="27">
        <f t="shared" si="1"/>
        <v>0</v>
      </c>
      <c r="K4" s="27">
        <f t="shared" si="1"/>
        <v>0</v>
      </c>
      <c r="L4" s="27">
        <f t="shared" si="1"/>
        <v>0</v>
      </c>
      <c r="M4" s="27">
        <f t="shared" si="1"/>
        <v>0</v>
      </c>
      <c r="N4" s="27">
        <f t="shared" si="1"/>
        <v>0</v>
      </c>
      <c r="O4" s="27">
        <f t="shared" si="1"/>
        <v>0</v>
      </c>
      <c r="P4" s="28">
        <f>SUM(D4:O4)</f>
        <v>0</v>
      </c>
    </row>
    <row r="5" spans="2:17" x14ac:dyDescent="0.4">
      <c r="B5" s="29" t="s">
        <v>32</v>
      </c>
      <c r="C5" s="21"/>
      <c r="D5" s="27">
        <f t="shared" si="1"/>
        <v>0</v>
      </c>
      <c r="E5" s="27">
        <f t="shared" si="1"/>
        <v>0</v>
      </c>
      <c r="F5" s="27">
        <f t="shared" si="1"/>
        <v>0</v>
      </c>
      <c r="G5" s="27">
        <f t="shared" si="1"/>
        <v>0</v>
      </c>
      <c r="H5" s="27">
        <f t="shared" si="1"/>
        <v>0</v>
      </c>
      <c r="I5" s="27">
        <f t="shared" si="1"/>
        <v>0</v>
      </c>
      <c r="J5" s="27">
        <f t="shared" si="1"/>
        <v>0</v>
      </c>
      <c r="K5" s="27">
        <f t="shared" si="1"/>
        <v>0</v>
      </c>
      <c r="L5" s="27">
        <f t="shared" si="1"/>
        <v>0</v>
      </c>
      <c r="M5" s="27">
        <f t="shared" si="1"/>
        <v>0</v>
      </c>
      <c r="N5" s="27">
        <f t="shared" si="1"/>
        <v>0</v>
      </c>
      <c r="O5" s="27">
        <f t="shared" si="1"/>
        <v>0</v>
      </c>
      <c r="P5" s="28">
        <f t="shared" ref="P5:P11" si="2">SUM(D5:O5)</f>
        <v>0</v>
      </c>
    </row>
    <row r="6" spans="2:17" x14ac:dyDescent="0.4">
      <c r="B6" s="29" t="s">
        <v>33</v>
      </c>
      <c r="C6" s="21"/>
      <c r="D6" s="27">
        <f t="shared" si="1"/>
        <v>0</v>
      </c>
      <c r="E6" s="27">
        <f t="shared" si="1"/>
        <v>0</v>
      </c>
      <c r="F6" s="27">
        <f t="shared" si="1"/>
        <v>0</v>
      </c>
      <c r="G6" s="27">
        <f t="shared" si="1"/>
        <v>0</v>
      </c>
      <c r="H6" s="27">
        <f t="shared" si="1"/>
        <v>0</v>
      </c>
      <c r="I6" s="27">
        <f t="shared" si="1"/>
        <v>0</v>
      </c>
      <c r="J6" s="27">
        <f t="shared" si="1"/>
        <v>0</v>
      </c>
      <c r="K6" s="27">
        <f t="shared" si="1"/>
        <v>0</v>
      </c>
      <c r="L6" s="27">
        <f t="shared" si="1"/>
        <v>0</v>
      </c>
      <c r="M6" s="27">
        <f t="shared" si="1"/>
        <v>0</v>
      </c>
      <c r="N6" s="27">
        <f t="shared" si="1"/>
        <v>0</v>
      </c>
      <c r="O6" s="27">
        <f t="shared" si="1"/>
        <v>0</v>
      </c>
      <c r="P6" s="28">
        <f t="shared" si="2"/>
        <v>0</v>
      </c>
    </row>
    <row r="7" spans="2:17" x14ac:dyDescent="0.4">
      <c r="B7" s="29" t="s">
        <v>34</v>
      </c>
      <c r="C7" s="21"/>
      <c r="D7" s="27">
        <f t="shared" si="1"/>
        <v>0</v>
      </c>
      <c r="E7" s="27">
        <f t="shared" si="1"/>
        <v>0</v>
      </c>
      <c r="F7" s="27">
        <f t="shared" si="1"/>
        <v>0</v>
      </c>
      <c r="G7" s="27">
        <f t="shared" si="1"/>
        <v>0</v>
      </c>
      <c r="H7" s="27">
        <f t="shared" si="1"/>
        <v>0</v>
      </c>
      <c r="I7" s="27">
        <f t="shared" si="1"/>
        <v>0</v>
      </c>
      <c r="J7" s="27">
        <f t="shared" si="1"/>
        <v>0</v>
      </c>
      <c r="K7" s="27">
        <f t="shared" si="1"/>
        <v>0</v>
      </c>
      <c r="L7" s="27">
        <f t="shared" si="1"/>
        <v>0</v>
      </c>
      <c r="M7" s="27">
        <f t="shared" si="1"/>
        <v>0</v>
      </c>
      <c r="N7" s="27">
        <f t="shared" si="1"/>
        <v>0</v>
      </c>
      <c r="O7" s="27">
        <f t="shared" si="1"/>
        <v>0</v>
      </c>
      <c r="P7" s="28">
        <f t="shared" si="2"/>
        <v>0</v>
      </c>
    </row>
    <row r="8" spans="2:17" x14ac:dyDescent="0.4">
      <c r="B8" s="25" t="s">
        <v>35</v>
      </c>
      <c r="C8" s="21"/>
      <c r="D8" s="27">
        <f t="shared" si="1"/>
        <v>0</v>
      </c>
      <c r="E8" s="27">
        <f t="shared" si="1"/>
        <v>0</v>
      </c>
      <c r="F8" s="27">
        <f t="shared" si="1"/>
        <v>0</v>
      </c>
      <c r="G8" s="27">
        <f t="shared" si="1"/>
        <v>0</v>
      </c>
      <c r="H8" s="27">
        <f t="shared" si="1"/>
        <v>0</v>
      </c>
      <c r="I8" s="27">
        <f t="shared" si="1"/>
        <v>0</v>
      </c>
      <c r="J8" s="27">
        <f t="shared" si="1"/>
        <v>0</v>
      </c>
      <c r="K8" s="27">
        <f t="shared" si="1"/>
        <v>0</v>
      </c>
      <c r="L8" s="27">
        <f t="shared" si="1"/>
        <v>0</v>
      </c>
      <c r="M8" s="27">
        <f t="shared" si="1"/>
        <v>0</v>
      </c>
      <c r="N8" s="27">
        <f t="shared" si="1"/>
        <v>0</v>
      </c>
      <c r="O8" s="27">
        <f t="shared" si="1"/>
        <v>0</v>
      </c>
      <c r="P8" s="28">
        <f t="shared" si="2"/>
        <v>0</v>
      </c>
    </row>
    <row r="9" spans="2:17" x14ac:dyDescent="0.4">
      <c r="B9" s="29" t="s">
        <v>36</v>
      </c>
      <c r="C9" s="21"/>
      <c r="D9" s="27">
        <f t="shared" si="1"/>
        <v>0</v>
      </c>
      <c r="E9" s="27">
        <f t="shared" si="1"/>
        <v>0</v>
      </c>
      <c r="F9" s="27">
        <f t="shared" si="1"/>
        <v>0</v>
      </c>
      <c r="G9" s="27">
        <f t="shared" si="1"/>
        <v>0</v>
      </c>
      <c r="H9" s="27">
        <f t="shared" si="1"/>
        <v>0</v>
      </c>
      <c r="I9" s="27">
        <f t="shared" si="1"/>
        <v>0</v>
      </c>
      <c r="J9" s="27">
        <f t="shared" si="1"/>
        <v>0</v>
      </c>
      <c r="K9" s="27">
        <f t="shared" si="1"/>
        <v>0</v>
      </c>
      <c r="L9" s="27">
        <f t="shared" si="1"/>
        <v>0</v>
      </c>
      <c r="M9" s="27">
        <f t="shared" si="1"/>
        <v>0</v>
      </c>
      <c r="N9" s="27">
        <f t="shared" si="1"/>
        <v>0</v>
      </c>
      <c r="O9" s="27">
        <f t="shared" si="1"/>
        <v>0</v>
      </c>
      <c r="P9" s="28">
        <f t="shared" si="2"/>
        <v>0</v>
      </c>
    </row>
    <row r="10" spans="2:17" x14ac:dyDescent="0.4">
      <c r="B10" s="29" t="s">
        <v>37</v>
      </c>
      <c r="C10" s="21"/>
      <c r="D10" s="27">
        <f t="shared" si="1"/>
        <v>0</v>
      </c>
      <c r="E10" s="27">
        <f t="shared" si="1"/>
        <v>0</v>
      </c>
      <c r="F10" s="27">
        <f t="shared" si="1"/>
        <v>0</v>
      </c>
      <c r="G10" s="27">
        <f t="shared" si="1"/>
        <v>0</v>
      </c>
      <c r="H10" s="27">
        <f t="shared" si="1"/>
        <v>0</v>
      </c>
      <c r="I10" s="27">
        <f t="shared" si="1"/>
        <v>0</v>
      </c>
      <c r="J10" s="27">
        <f t="shared" si="1"/>
        <v>0</v>
      </c>
      <c r="K10" s="27">
        <f t="shared" si="1"/>
        <v>0</v>
      </c>
      <c r="L10" s="27">
        <f t="shared" si="1"/>
        <v>0</v>
      </c>
      <c r="M10" s="27">
        <f t="shared" si="1"/>
        <v>0</v>
      </c>
      <c r="N10" s="27">
        <f t="shared" si="1"/>
        <v>0</v>
      </c>
      <c r="O10" s="27">
        <f t="shared" si="1"/>
        <v>0</v>
      </c>
      <c r="P10" s="28">
        <f t="shared" si="2"/>
        <v>0</v>
      </c>
    </row>
    <row r="11" spans="2:17" x14ac:dyDescent="0.4">
      <c r="B11" s="29" t="s">
        <v>38</v>
      </c>
      <c r="C11" s="21"/>
      <c r="D11" s="27">
        <f t="shared" si="1"/>
        <v>0</v>
      </c>
      <c r="E11" s="27">
        <f t="shared" si="1"/>
        <v>0</v>
      </c>
      <c r="F11" s="27">
        <f t="shared" si="1"/>
        <v>0</v>
      </c>
      <c r="G11" s="27">
        <f t="shared" si="1"/>
        <v>0</v>
      </c>
      <c r="H11" s="27">
        <f t="shared" si="1"/>
        <v>0</v>
      </c>
      <c r="I11" s="27">
        <f t="shared" si="1"/>
        <v>0</v>
      </c>
      <c r="J11" s="27">
        <f t="shared" si="1"/>
        <v>0</v>
      </c>
      <c r="K11" s="27">
        <f t="shared" si="1"/>
        <v>0</v>
      </c>
      <c r="L11" s="27">
        <f t="shared" si="1"/>
        <v>0</v>
      </c>
      <c r="M11" s="27">
        <f t="shared" si="1"/>
        <v>0</v>
      </c>
      <c r="N11" s="27">
        <f t="shared" si="1"/>
        <v>0</v>
      </c>
      <c r="O11" s="27">
        <f t="shared" si="1"/>
        <v>0</v>
      </c>
      <c r="P11" s="28">
        <f t="shared" si="2"/>
        <v>0</v>
      </c>
    </row>
    <row r="12" spans="2:17" x14ac:dyDescent="0.4">
      <c r="C12" s="21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4"/>
    </row>
    <row r="13" spans="2:17" x14ac:dyDescent="0.4">
      <c r="B13" s="30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4"/>
    </row>
    <row r="14" spans="2:17" x14ac:dyDescent="0.4">
      <c r="B14" s="23" t="s">
        <v>39</v>
      </c>
      <c r="C14" s="31"/>
      <c r="D14" s="24">
        <f>SUM(D15:D21)</f>
        <v>199166666.66666669</v>
      </c>
      <c r="E14" s="24">
        <f t="shared" ref="E14:P14" si="3">SUM(E15:E21)</f>
        <v>199166666.66666669</v>
      </c>
      <c r="F14" s="24">
        <f t="shared" si="3"/>
        <v>199166666.66666669</v>
      </c>
      <c r="G14" s="24">
        <f t="shared" si="3"/>
        <v>199166666.66666669</v>
      </c>
      <c r="H14" s="24">
        <f t="shared" si="3"/>
        <v>199166666.66666669</v>
      </c>
      <c r="I14" s="24">
        <f t="shared" si="3"/>
        <v>199166666.66666669</v>
      </c>
      <c r="J14" s="24">
        <f t="shared" si="3"/>
        <v>199166666.66666669</v>
      </c>
      <c r="K14" s="24">
        <f t="shared" si="3"/>
        <v>199166666.66666669</v>
      </c>
      <c r="L14" s="24">
        <f t="shared" si="3"/>
        <v>199166666.66666669</v>
      </c>
      <c r="M14" s="24">
        <f t="shared" si="3"/>
        <v>199166666.66666669</v>
      </c>
      <c r="N14" s="24">
        <f t="shared" si="3"/>
        <v>199166666.66666669</v>
      </c>
      <c r="O14" s="24">
        <f t="shared" si="3"/>
        <v>199166666.66666669</v>
      </c>
      <c r="P14" s="24">
        <f t="shared" si="3"/>
        <v>2390000000.0000005</v>
      </c>
    </row>
    <row r="15" spans="2:17" x14ac:dyDescent="0.4">
      <c r="B15" s="32" t="s">
        <v>40</v>
      </c>
      <c r="D15" s="27">
        <f>D37*D57</f>
        <v>0</v>
      </c>
      <c r="E15" s="27">
        <f>D15</f>
        <v>0</v>
      </c>
      <c r="F15" s="27">
        <f t="shared" ref="F15:O15" si="4">E15</f>
        <v>0</v>
      </c>
      <c r="G15" s="27">
        <f t="shared" si="4"/>
        <v>0</v>
      </c>
      <c r="H15" s="27">
        <f t="shared" si="4"/>
        <v>0</v>
      </c>
      <c r="I15" s="27">
        <f t="shared" si="4"/>
        <v>0</v>
      </c>
      <c r="J15" s="27">
        <f t="shared" si="4"/>
        <v>0</v>
      </c>
      <c r="K15" s="27">
        <f t="shared" si="4"/>
        <v>0</v>
      </c>
      <c r="L15" s="27">
        <f t="shared" si="4"/>
        <v>0</v>
      </c>
      <c r="M15" s="27">
        <f t="shared" si="4"/>
        <v>0</v>
      </c>
      <c r="N15" s="27">
        <f t="shared" si="4"/>
        <v>0</v>
      </c>
      <c r="O15" s="27">
        <f t="shared" si="4"/>
        <v>0</v>
      </c>
      <c r="P15" s="28">
        <f t="shared" ref="P15:P21" si="5">SUM(D15:O15)</f>
        <v>0</v>
      </c>
      <c r="Q15" s="19" t="s">
        <v>41</v>
      </c>
    </row>
    <row r="16" spans="2:17" x14ac:dyDescent="0.4">
      <c r="B16" s="32" t="s">
        <v>42</v>
      </c>
      <c r="D16" s="27">
        <f>D38*D58</f>
        <v>0</v>
      </c>
      <c r="E16" s="27">
        <f t="shared" ref="E16:O17" si="6">E38*E58</f>
        <v>0</v>
      </c>
      <c r="F16" s="27">
        <f t="shared" si="6"/>
        <v>0</v>
      </c>
      <c r="G16" s="27">
        <f t="shared" si="6"/>
        <v>0</v>
      </c>
      <c r="H16" s="27">
        <f t="shared" si="6"/>
        <v>0</v>
      </c>
      <c r="I16" s="27">
        <f t="shared" si="6"/>
        <v>0</v>
      </c>
      <c r="J16" s="27">
        <f t="shared" si="6"/>
        <v>0</v>
      </c>
      <c r="K16" s="27">
        <f t="shared" si="6"/>
        <v>0</v>
      </c>
      <c r="L16" s="27">
        <f t="shared" si="6"/>
        <v>0</v>
      </c>
      <c r="M16" s="27">
        <f t="shared" si="6"/>
        <v>0</v>
      </c>
      <c r="N16" s="27">
        <f t="shared" si="6"/>
        <v>0</v>
      </c>
      <c r="O16" s="27">
        <f t="shared" si="6"/>
        <v>0</v>
      </c>
      <c r="P16" s="28">
        <f t="shared" si="5"/>
        <v>0</v>
      </c>
      <c r="Q16" s="19" t="s">
        <v>41</v>
      </c>
    </row>
    <row r="17" spans="2:17" x14ac:dyDescent="0.4">
      <c r="B17" s="33" t="s">
        <v>43</v>
      </c>
      <c r="D17" s="27">
        <f>D39*D59</f>
        <v>0</v>
      </c>
      <c r="E17" s="27">
        <f t="shared" si="6"/>
        <v>0</v>
      </c>
      <c r="F17" s="27">
        <f t="shared" si="6"/>
        <v>0</v>
      </c>
      <c r="G17" s="27">
        <f t="shared" si="6"/>
        <v>0</v>
      </c>
      <c r="H17" s="27">
        <f t="shared" si="6"/>
        <v>0</v>
      </c>
      <c r="I17" s="27">
        <f t="shared" si="6"/>
        <v>0</v>
      </c>
      <c r="J17" s="27">
        <f t="shared" si="6"/>
        <v>0</v>
      </c>
      <c r="K17" s="27">
        <f t="shared" si="6"/>
        <v>0</v>
      </c>
      <c r="L17" s="27">
        <f t="shared" si="6"/>
        <v>0</v>
      </c>
      <c r="M17" s="27">
        <f t="shared" si="6"/>
        <v>0</v>
      </c>
      <c r="N17" s="27">
        <f t="shared" si="6"/>
        <v>0</v>
      </c>
      <c r="O17" s="27">
        <f t="shared" si="6"/>
        <v>0</v>
      </c>
      <c r="P17" s="28">
        <f t="shared" si="5"/>
        <v>0</v>
      </c>
      <c r="Q17" s="19" t="s">
        <v>41</v>
      </c>
    </row>
    <row r="18" spans="2:17" x14ac:dyDescent="0.4">
      <c r="B18" s="29" t="s">
        <v>44</v>
      </c>
      <c r="C18" s="31"/>
      <c r="D18" s="27">
        <f>(D40*D60)</f>
        <v>0</v>
      </c>
      <c r="E18" s="27">
        <f>D18</f>
        <v>0</v>
      </c>
      <c r="F18" s="27">
        <f t="shared" ref="F18:O21" si="7">E18</f>
        <v>0</v>
      </c>
      <c r="G18" s="27">
        <f t="shared" si="7"/>
        <v>0</v>
      </c>
      <c r="H18" s="27">
        <f t="shared" si="7"/>
        <v>0</v>
      </c>
      <c r="I18" s="27">
        <f t="shared" si="7"/>
        <v>0</v>
      </c>
      <c r="J18" s="27">
        <f t="shared" si="7"/>
        <v>0</v>
      </c>
      <c r="K18" s="27">
        <f t="shared" si="7"/>
        <v>0</v>
      </c>
      <c r="L18" s="27">
        <f t="shared" si="7"/>
        <v>0</v>
      </c>
      <c r="M18" s="27">
        <f t="shared" si="7"/>
        <v>0</v>
      </c>
      <c r="N18" s="27">
        <f t="shared" si="7"/>
        <v>0</v>
      </c>
      <c r="O18" s="27">
        <f t="shared" si="7"/>
        <v>0</v>
      </c>
      <c r="P18" s="28">
        <f t="shared" si="5"/>
        <v>0</v>
      </c>
      <c r="Q18" s="19" t="s">
        <v>45</v>
      </c>
    </row>
    <row r="19" spans="2:17" hidden="1" x14ac:dyDescent="0.4">
      <c r="B19" s="29" t="s">
        <v>46</v>
      </c>
      <c r="C19" s="31"/>
      <c r="D19" s="27">
        <f>(D41*D61)</f>
        <v>0</v>
      </c>
      <c r="E19" s="27">
        <f>D19</f>
        <v>0</v>
      </c>
      <c r="F19" s="27">
        <f t="shared" si="7"/>
        <v>0</v>
      </c>
      <c r="G19" s="27">
        <f t="shared" si="7"/>
        <v>0</v>
      </c>
      <c r="H19" s="27">
        <f t="shared" si="7"/>
        <v>0</v>
      </c>
      <c r="I19" s="27">
        <f t="shared" si="7"/>
        <v>0</v>
      </c>
      <c r="J19" s="27">
        <f t="shared" si="7"/>
        <v>0</v>
      </c>
      <c r="K19" s="27">
        <f t="shared" si="7"/>
        <v>0</v>
      </c>
      <c r="L19" s="27">
        <f t="shared" si="7"/>
        <v>0</v>
      </c>
      <c r="M19" s="27">
        <f t="shared" si="7"/>
        <v>0</v>
      </c>
      <c r="N19" s="27">
        <f t="shared" si="7"/>
        <v>0</v>
      </c>
      <c r="O19" s="27">
        <f t="shared" si="7"/>
        <v>0</v>
      </c>
      <c r="P19" s="28">
        <f t="shared" si="5"/>
        <v>0</v>
      </c>
    </row>
    <row r="20" spans="2:17" x14ac:dyDescent="0.4">
      <c r="B20" s="29" t="s">
        <v>47</v>
      </c>
      <c r="C20" s="31"/>
      <c r="D20" s="27">
        <f>(D42*D62)</f>
        <v>196166666.66666669</v>
      </c>
      <c r="E20" s="27">
        <f>D20</f>
        <v>196166666.66666669</v>
      </c>
      <c r="F20" s="27">
        <f t="shared" si="7"/>
        <v>196166666.66666669</v>
      </c>
      <c r="G20" s="27">
        <f t="shared" si="7"/>
        <v>196166666.66666669</v>
      </c>
      <c r="H20" s="27">
        <f t="shared" si="7"/>
        <v>196166666.66666669</v>
      </c>
      <c r="I20" s="27">
        <f t="shared" si="7"/>
        <v>196166666.66666669</v>
      </c>
      <c r="J20" s="27">
        <f t="shared" si="7"/>
        <v>196166666.66666669</v>
      </c>
      <c r="K20" s="27">
        <f t="shared" si="7"/>
        <v>196166666.66666669</v>
      </c>
      <c r="L20" s="27">
        <f t="shared" si="7"/>
        <v>196166666.66666669</v>
      </c>
      <c r="M20" s="27">
        <f t="shared" si="7"/>
        <v>196166666.66666669</v>
      </c>
      <c r="N20" s="27">
        <f t="shared" si="7"/>
        <v>196166666.66666669</v>
      </c>
      <c r="O20" s="27">
        <f t="shared" si="7"/>
        <v>196166666.66666669</v>
      </c>
      <c r="P20" s="28">
        <f t="shared" si="5"/>
        <v>2354000000.0000005</v>
      </c>
    </row>
    <row r="21" spans="2:17" x14ac:dyDescent="0.4">
      <c r="B21" s="29" t="s">
        <v>48</v>
      </c>
      <c r="C21" s="31"/>
      <c r="D21" s="27">
        <v>3000000</v>
      </c>
      <c r="E21" s="27">
        <f>D21</f>
        <v>3000000</v>
      </c>
      <c r="F21" s="27">
        <f t="shared" si="7"/>
        <v>3000000</v>
      </c>
      <c r="G21" s="27">
        <f t="shared" si="7"/>
        <v>3000000</v>
      </c>
      <c r="H21" s="27">
        <f t="shared" si="7"/>
        <v>3000000</v>
      </c>
      <c r="I21" s="27">
        <f t="shared" si="7"/>
        <v>3000000</v>
      </c>
      <c r="J21" s="27">
        <f t="shared" si="7"/>
        <v>3000000</v>
      </c>
      <c r="K21" s="27">
        <f t="shared" si="7"/>
        <v>3000000</v>
      </c>
      <c r="L21" s="27">
        <f t="shared" si="7"/>
        <v>3000000</v>
      </c>
      <c r="M21" s="27">
        <f t="shared" si="7"/>
        <v>3000000</v>
      </c>
      <c r="N21" s="27">
        <f t="shared" si="7"/>
        <v>3000000</v>
      </c>
      <c r="O21" s="27">
        <f t="shared" si="7"/>
        <v>3000000</v>
      </c>
      <c r="P21" s="28">
        <f t="shared" si="5"/>
        <v>36000000</v>
      </c>
    </row>
    <row r="22" spans="2:17" x14ac:dyDescent="0.4">
      <c r="B22" s="30"/>
      <c r="C22" s="31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5"/>
    </row>
    <row r="23" spans="2:17" x14ac:dyDescent="0.4">
      <c r="B23" s="36" t="s">
        <v>49</v>
      </c>
      <c r="C23" s="37"/>
      <c r="D23" s="38">
        <f t="shared" ref="D23:O23" si="8">D3+D14</f>
        <v>199166666.66666669</v>
      </c>
      <c r="E23" s="38">
        <f t="shared" si="8"/>
        <v>199166666.66666669</v>
      </c>
      <c r="F23" s="38">
        <f t="shared" si="8"/>
        <v>199166666.66666669</v>
      </c>
      <c r="G23" s="38">
        <f t="shared" si="8"/>
        <v>199166666.66666669</v>
      </c>
      <c r="H23" s="38">
        <f t="shared" si="8"/>
        <v>199166666.66666669</v>
      </c>
      <c r="I23" s="38">
        <f t="shared" si="8"/>
        <v>199166666.66666669</v>
      </c>
      <c r="J23" s="38">
        <f t="shared" si="8"/>
        <v>199166666.66666669</v>
      </c>
      <c r="K23" s="38">
        <f t="shared" si="8"/>
        <v>199166666.66666669</v>
      </c>
      <c r="L23" s="38">
        <f t="shared" si="8"/>
        <v>199166666.66666669</v>
      </c>
      <c r="M23" s="38">
        <f t="shared" si="8"/>
        <v>199166666.66666669</v>
      </c>
      <c r="N23" s="38">
        <f t="shared" si="8"/>
        <v>199166666.66666669</v>
      </c>
      <c r="O23" s="38">
        <f t="shared" si="8"/>
        <v>199166666.66666669</v>
      </c>
      <c r="P23" s="38">
        <f>P3+P14</f>
        <v>2390000000.0000005</v>
      </c>
    </row>
    <row r="24" spans="2:17" x14ac:dyDescent="0.4">
      <c r="B24" s="30"/>
      <c r="C24" s="31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9"/>
    </row>
    <row r="25" spans="2:17" x14ac:dyDescent="0.4">
      <c r="B25" s="20" t="s">
        <v>50</v>
      </c>
      <c r="D25" s="40"/>
      <c r="E25" s="40"/>
      <c r="F25" s="40"/>
      <c r="G25" s="40"/>
      <c r="H25" s="34"/>
      <c r="I25" s="40"/>
      <c r="J25" s="40"/>
      <c r="K25" s="40"/>
      <c r="L25" s="40"/>
      <c r="M25" s="40"/>
      <c r="N25" s="40"/>
      <c r="O25" s="40"/>
      <c r="P25" s="40"/>
    </row>
    <row r="26" spans="2:17" x14ac:dyDescent="0.4">
      <c r="B26" s="23" t="s">
        <v>30</v>
      </c>
      <c r="D26" s="35">
        <f>SUM(D27:D34)</f>
        <v>0</v>
      </c>
      <c r="E26" s="35">
        <f t="shared" ref="E26:O26" si="9">SUM(E27:E34)</f>
        <v>0</v>
      </c>
      <c r="F26" s="35">
        <f t="shared" si="9"/>
        <v>0</v>
      </c>
      <c r="G26" s="35">
        <f t="shared" si="9"/>
        <v>0</v>
      </c>
      <c r="H26" s="35">
        <f t="shared" si="9"/>
        <v>0</v>
      </c>
      <c r="I26" s="35">
        <f t="shared" si="9"/>
        <v>0</v>
      </c>
      <c r="J26" s="35">
        <f t="shared" si="9"/>
        <v>0</v>
      </c>
      <c r="K26" s="35">
        <f t="shared" si="9"/>
        <v>0</v>
      </c>
      <c r="L26" s="35">
        <f t="shared" si="9"/>
        <v>0</v>
      </c>
      <c r="M26" s="35">
        <f t="shared" si="9"/>
        <v>0</v>
      </c>
      <c r="N26" s="35">
        <f t="shared" si="9"/>
        <v>0</v>
      </c>
      <c r="O26" s="35">
        <f t="shared" si="9"/>
        <v>0</v>
      </c>
      <c r="P26" s="35">
        <f>SUM(P27:P34)</f>
        <v>0</v>
      </c>
    </row>
    <row r="27" spans="2:17" x14ac:dyDescent="0.4">
      <c r="B27" s="25" t="s">
        <v>31</v>
      </c>
      <c r="P27" s="40">
        <f t="shared" ref="P27:P34" si="10">SUM(D27:O27)</f>
        <v>0</v>
      </c>
    </row>
    <row r="28" spans="2:17" x14ac:dyDescent="0.4">
      <c r="B28" s="29" t="s">
        <v>32</v>
      </c>
      <c r="C28" s="21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40">
        <f t="shared" si="10"/>
        <v>0</v>
      </c>
    </row>
    <row r="29" spans="2:17" x14ac:dyDescent="0.4">
      <c r="B29" s="29" t="s">
        <v>33</v>
      </c>
      <c r="C29" s="21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40">
        <f t="shared" si="10"/>
        <v>0</v>
      </c>
    </row>
    <row r="30" spans="2:17" x14ac:dyDescent="0.4">
      <c r="B30" s="29" t="s">
        <v>34</v>
      </c>
      <c r="C30" s="21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40">
        <f t="shared" si="10"/>
        <v>0</v>
      </c>
    </row>
    <row r="31" spans="2:17" x14ac:dyDescent="0.4">
      <c r="B31" s="25" t="s">
        <v>35</v>
      </c>
      <c r="C31" s="21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40">
        <f t="shared" si="10"/>
        <v>0</v>
      </c>
    </row>
    <row r="32" spans="2:17" x14ac:dyDescent="0.4">
      <c r="B32" s="29" t="s">
        <v>36</v>
      </c>
      <c r="C32" s="21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40">
        <f t="shared" si="10"/>
        <v>0</v>
      </c>
    </row>
    <row r="33" spans="2:17" x14ac:dyDescent="0.4">
      <c r="B33" s="29" t="s">
        <v>37</v>
      </c>
      <c r="C33" s="21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40">
        <f t="shared" si="10"/>
        <v>0</v>
      </c>
    </row>
    <row r="34" spans="2:17" x14ac:dyDescent="0.4">
      <c r="B34" s="29" t="s">
        <v>51</v>
      </c>
      <c r="C34" s="21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40">
        <f t="shared" si="10"/>
        <v>0</v>
      </c>
    </row>
    <row r="35" spans="2:17" x14ac:dyDescent="0.4">
      <c r="C35" s="21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40"/>
    </row>
    <row r="36" spans="2:17" x14ac:dyDescent="0.4">
      <c r="B36" s="23" t="s">
        <v>39</v>
      </c>
      <c r="C36" s="41"/>
      <c r="D36" s="35">
        <f>SUM(D37:D40)</f>
        <v>0</v>
      </c>
      <c r="E36" s="35">
        <f t="shared" ref="E36:O36" si="11">SUM(E37:E40)</f>
        <v>0</v>
      </c>
      <c r="F36" s="35">
        <f t="shared" si="11"/>
        <v>0</v>
      </c>
      <c r="G36" s="35">
        <f t="shared" si="11"/>
        <v>0</v>
      </c>
      <c r="H36" s="35">
        <f t="shared" si="11"/>
        <v>0</v>
      </c>
      <c r="I36" s="35">
        <f t="shared" si="11"/>
        <v>0</v>
      </c>
      <c r="J36" s="35">
        <f t="shared" si="11"/>
        <v>0</v>
      </c>
      <c r="K36" s="35">
        <f t="shared" si="11"/>
        <v>0</v>
      </c>
      <c r="L36" s="35">
        <f t="shared" si="11"/>
        <v>0</v>
      </c>
      <c r="M36" s="35">
        <f t="shared" si="11"/>
        <v>0</v>
      </c>
      <c r="N36" s="35">
        <f t="shared" si="11"/>
        <v>0</v>
      </c>
      <c r="O36" s="35">
        <f t="shared" si="11"/>
        <v>0</v>
      </c>
      <c r="P36" s="35">
        <f>SUM(P37:P40)</f>
        <v>0</v>
      </c>
    </row>
    <row r="37" spans="2:17" x14ac:dyDescent="0.4">
      <c r="B37" s="32" t="s">
        <v>40</v>
      </c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40">
        <f>SUM(D37:O37)</f>
        <v>0</v>
      </c>
      <c r="Q37" s="19" t="s">
        <v>52</v>
      </c>
    </row>
    <row r="38" spans="2:17" x14ac:dyDescent="0.4">
      <c r="B38" s="32" t="s">
        <v>42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40">
        <f>SUM(D38:O38)</f>
        <v>0</v>
      </c>
      <c r="Q38" s="19" t="s">
        <v>52</v>
      </c>
    </row>
    <row r="39" spans="2:17" x14ac:dyDescent="0.4">
      <c r="B39" s="33" t="s">
        <v>53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40">
        <f>SUM(D39:O39)</f>
        <v>0</v>
      </c>
      <c r="Q39" s="19" t="s">
        <v>52</v>
      </c>
    </row>
    <row r="40" spans="2:17" x14ac:dyDescent="0.4">
      <c r="B40" s="33" t="s">
        <v>44</v>
      </c>
      <c r="C40" s="41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40">
        <f>SUM(D40:O40)</f>
        <v>0</v>
      </c>
      <c r="Q40" s="19" t="s">
        <v>52</v>
      </c>
    </row>
    <row r="41" spans="2:17" x14ac:dyDescent="0.4">
      <c r="B41" s="29" t="s">
        <v>46</v>
      </c>
      <c r="C41" s="41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40">
        <f t="shared" ref="P41:P43" si="12">SUM(D41:O41)</f>
        <v>0</v>
      </c>
    </row>
    <row r="42" spans="2:17" x14ac:dyDescent="0.4">
      <c r="B42" s="29" t="s">
        <v>47</v>
      </c>
      <c r="C42" s="41"/>
      <c r="D42" s="34">
        <v>2200</v>
      </c>
      <c r="E42" s="34">
        <v>2200</v>
      </c>
      <c r="F42" s="34">
        <v>2200</v>
      </c>
      <c r="G42" s="34">
        <v>2200</v>
      </c>
      <c r="H42" s="34">
        <v>2200</v>
      </c>
      <c r="I42" s="34">
        <v>2200</v>
      </c>
      <c r="J42" s="34">
        <v>2200</v>
      </c>
      <c r="K42" s="34">
        <v>2200</v>
      </c>
      <c r="L42" s="34">
        <v>2200</v>
      </c>
      <c r="M42" s="34">
        <v>2200</v>
      </c>
      <c r="N42" s="34">
        <v>2200</v>
      </c>
      <c r="O42" s="34">
        <v>2200</v>
      </c>
      <c r="P42" s="40">
        <f t="shared" si="12"/>
        <v>26400</v>
      </c>
    </row>
    <row r="43" spans="2:17" x14ac:dyDescent="0.4">
      <c r="B43" s="33" t="s">
        <v>48</v>
      </c>
      <c r="C43" s="41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40">
        <f t="shared" si="12"/>
        <v>0</v>
      </c>
    </row>
    <row r="44" spans="2:17" x14ac:dyDescent="0.4">
      <c r="B44" s="30"/>
      <c r="C44" s="41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</row>
    <row r="45" spans="2:17" x14ac:dyDescent="0.4">
      <c r="B45" s="20" t="s">
        <v>54</v>
      </c>
      <c r="C45" s="21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</row>
    <row r="46" spans="2:17" x14ac:dyDescent="0.4">
      <c r="B46" s="23" t="s">
        <v>30</v>
      </c>
      <c r="C46" s="21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0"/>
    </row>
    <row r="47" spans="2:17" x14ac:dyDescent="0.4">
      <c r="B47" s="25" t="s">
        <v>31</v>
      </c>
      <c r="D47" s="27">
        <v>765000</v>
      </c>
      <c r="E47" s="27">
        <f>D47</f>
        <v>765000</v>
      </c>
      <c r="F47" s="27">
        <f t="shared" ref="F47:O47" si="13">E47</f>
        <v>765000</v>
      </c>
      <c r="G47" s="27">
        <f t="shared" si="13"/>
        <v>765000</v>
      </c>
      <c r="H47" s="27">
        <f t="shared" si="13"/>
        <v>765000</v>
      </c>
      <c r="I47" s="27">
        <f t="shared" si="13"/>
        <v>765000</v>
      </c>
      <c r="J47" s="27">
        <f t="shared" si="13"/>
        <v>765000</v>
      </c>
      <c r="K47" s="27">
        <f t="shared" si="13"/>
        <v>765000</v>
      </c>
      <c r="L47" s="27">
        <f t="shared" si="13"/>
        <v>765000</v>
      </c>
      <c r="M47" s="27">
        <f t="shared" si="13"/>
        <v>765000</v>
      </c>
      <c r="N47" s="27">
        <f t="shared" si="13"/>
        <v>765000</v>
      </c>
      <c r="O47" s="27">
        <f t="shared" si="13"/>
        <v>765000</v>
      </c>
      <c r="P47" s="40"/>
    </row>
    <row r="48" spans="2:17" x14ac:dyDescent="0.4">
      <c r="B48" s="29" t="s">
        <v>32</v>
      </c>
      <c r="C48" s="21"/>
      <c r="D48" s="27">
        <v>450000</v>
      </c>
      <c r="E48" s="27">
        <f t="shared" ref="E48:O54" si="14">D48</f>
        <v>450000</v>
      </c>
      <c r="F48" s="27">
        <f t="shared" si="14"/>
        <v>450000</v>
      </c>
      <c r="G48" s="27">
        <f t="shared" si="14"/>
        <v>450000</v>
      </c>
      <c r="H48" s="27">
        <f t="shared" si="14"/>
        <v>450000</v>
      </c>
      <c r="I48" s="27">
        <f t="shared" si="14"/>
        <v>450000</v>
      </c>
      <c r="J48" s="27">
        <f t="shared" si="14"/>
        <v>450000</v>
      </c>
      <c r="K48" s="27">
        <f t="shared" si="14"/>
        <v>450000</v>
      </c>
      <c r="L48" s="27">
        <f t="shared" si="14"/>
        <v>450000</v>
      </c>
      <c r="M48" s="27">
        <f t="shared" si="14"/>
        <v>450000</v>
      </c>
      <c r="N48" s="27">
        <f t="shared" si="14"/>
        <v>450000</v>
      </c>
      <c r="O48" s="27">
        <f t="shared" si="14"/>
        <v>450000</v>
      </c>
      <c r="P48" s="40"/>
      <c r="Q48" s="19" t="s">
        <v>55</v>
      </c>
    </row>
    <row r="49" spans="2:16" x14ac:dyDescent="0.4">
      <c r="B49" s="29" t="s">
        <v>33</v>
      </c>
      <c r="C49" s="21"/>
      <c r="D49" s="27">
        <v>380000</v>
      </c>
      <c r="E49" s="27">
        <f t="shared" si="14"/>
        <v>380000</v>
      </c>
      <c r="F49" s="27">
        <f t="shared" si="14"/>
        <v>380000</v>
      </c>
      <c r="G49" s="27">
        <f t="shared" si="14"/>
        <v>380000</v>
      </c>
      <c r="H49" s="27">
        <f t="shared" si="14"/>
        <v>380000</v>
      </c>
      <c r="I49" s="27">
        <f t="shared" si="14"/>
        <v>380000</v>
      </c>
      <c r="J49" s="27">
        <f t="shared" si="14"/>
        <v>380000</v>
      </c>
      <c r="K49" s="27">
        <f t="shared" si="14"/>
        <v>380000</v>
      </c>
      <c r="L49" s="27">
        <f t="shared" si="14"/>
        <v>380000</v>
      </c>
      <c r="M49" s="27">
        <f t="shared" si="14"/>
        <v>380000</v>
      </c>
      <c r="N49" s="27">
        <f t="shared" si="14"/>
        <v>380000</v>
      </c>
      <c r="O49" s="27">
        <f t="shared" si="14"/>
        <v>380000</v>
      </c>
      <c r="P49" s="40"/>
    </row>
    <row r="50" spans="2:16" x14ac:dyDescent="0.4">
      <c r="B50" s="29" t="s">
        <v>34</v>
      </c>
      <c r="C50" s="21"/>
      <c r="D50" s="27">
        <v>450000</v>
      </c>
      <c r="E50" s="27">
        <f t="shared" si="14"/>
        <v>450000</v>
      </c>
      <c r="F50" s="27">
        <f t="shared" si="14"/>
        <v>450000</v>
      </c>
      <c r="G50" s="27">
        <f t="shared" si="14"/>
        <v>450000</v>
      </c>
      <c r="H50" s="27">
        <f t="shared" si="14"/>
        <v>450000</v>
      </c>
      <c r="I50" s="27">
        <f t="shared" si="14"/>
        <v>450000</v>
      </c>
      <c r="J50" s="27">
        <f t="shared" si="14"/>
        <v>450000</v>
      </c>
      <c r="K50" s="27">
        <f t="shared" si="14"/>
        <v>450000</v>
      </c>
      <c r="L50" s="27">
        <f t="shared" si="14"/>
        <v>450000</v>
      </c>
      <c r="M50" s="27">
        <f t="shared" si="14"/>
        <v>450000</v>
      </c>
      <c r="N50" s="27">
        <f t="shared" si="14"/>
        <v>450000</v>
      </c>
      <c r="O50" s="27">
        <f t="shared" si="14"/>
        <v>450000</v>
      </c>
      <c r="P50" s="40"/>
    </row>
    <row r="51" spans="2:16" x14ac:dyDescent="0.4">
      <c r="B51" s="25" t="s">
        <v>35</v>
      </c>
      <c r="C51" s="21"/>
      <c r="D51" s="27">
        <v>1500000</v>
      </c>
      <c r="E51" s="27">
        <f t="shared" si="14"/>
        <v>1500000</v>
      </c>
      <c r="F51" s="27">
        <f t="shared" si="14"/>
        <v>1500000</v>
      </c>
      <c r="G51" s="27">
        <f t="shared" si="14"/>
        <v>1500000</v>
      </c>
      <c r="H51" s="27">
        <f t="shared" si="14"/>
        <v>1500000</v>
      </c>
      <c r="I51" s="27">
        <f t="shared" si="14"/>
        <v>1500000</v>
      </c>
      <c r="J51" s="27">
        <f t="shared" si="14"/>
        <v>1500000</v>
      </c>
      <c r="K51" s="27">
        <f t="shared" si="14"/>
        <v>1500000</v>
      </c>
      <c r="L51" s="27">
        <f t="shared" si="14"/>
        <v>1500000</v>
      </c>
      <c r="M51" s="27">
        <f t="shared" si="14"/>
        <v>1500000</v>
      </c>
      <c r="N51" s="27">
        <f t="shared" si="14"/>
        <v>1500000</v>
      </c>
      <c r="O51" s="27">
        <f t="shared" si="14"/>
        <v>1500000</v>
      </c>
      <c r="P51" s="40"/>
    </row>
    <row r="52" spans="2:16" x14ac:dyDescent="0.4">
      <c r="B52" s="29" t="s">
        <v>36</v>
      </c>
      <c r="C52" s="21"/>
      <c r="D52" s="27">
        <v>850000</v>
      </c>
      <c r="E52" s="27">
        <f t="shared" si="14"/>
        <v>850000</v>
      </c>
      <c r="F52" s="27">
        <f t="shared" si="14"/>
        <v>850000</v>
      </c>
      <c r="G52" s="27">
        <f t="shared" si="14"/>
        <v>850000</v>
      </c>
      <c r="H52" s="27">
        <f t="shared" si="14"/>
        <v>850000</v>
      </c>
      <c r="I52" s="27">
        <f t="shared" si="14"/>
        <v>850000</v>
      </c>
      <c r="J52" s="27">
        <f t="shared" si="14"/>
        <v>850000</v>
      </c>
      <c r="K52" s="27">
        <f t="shared" si="14"/>
        <v>850000</v>
      </c>
      <c r="L52" s="27">
        <f t="shared" si="14"/>
        <v>850000</v>
      </c>
      <c r="M52" s="27">
        <f t="shared" si="14"/>
        <v>850000</v>
      </c>
      <c r="N52" s="27">
        <f t="shared" si="14"/>
        <v>850000</v>
      </c>
      <c r="O52" s="27">
        <f t="shared" si="14"/>
        <v>850000</v>
      </c>
      <c r="P52" s="40"/>
    </row>
    <row r="53" spans="2:16" x14ac:dyDescent="0.4">
      <c r="B53" s="29" t="s">
        <v>37</v>
      </c>
      <c r="C53" s="21"/>
      <c r="D53" s="27">
        <v>450000</v>
      </c>
      <c r="E53" s="27">
        <f t="shared" si="14"/>
        <v>450000</v>
      </c>
      <c r="F53" s="27">
        <f t="shared" si="14"/>
        <v>450000</v>
      </c>
      <c r="G53" s="27">
        <f t="shared" si="14"/>
        <v>450000</v>
      </c>
      <c r="H53" s="27">
        <f t="shared" si="14"/>
        <v>450000</v>
      </c>
      <c r="I53" s="27">
        <f t="shared" si="14"/>
        <v>450000</v>
      </c>
      <c r="J53" s="27">
        <f t="shared" si="14"/>
        <v>450000</v>
      </c>
      <c r="K53" s="27">
        <f t="shared" si="14"/>
        <v>450000</v>
      </c>
      <c r="L53" s="27">
        <f t="shared" si="14"/>
        <v>450000</v>
      </c>
      <c r="M53" s="27">
        <f t="shared" si="14"/>
        <v>450000</v>
      </c>
      <c r="N53" s="27">
        <f t="shared" si="14"/>
        <v>450000</v>
      </c>
      <c r="O53" s="27">
        <f t="shared" si="14"/>
        <v>450000</v>
      </c>
      <c r="P53" s="40"/>
    </row>
    <row r="54" spans="2:16" x14ac:dyDescent="0.4">
      <c r="B54" s="29" t="s">
        <v>38</v>
      </c>
      <c r="C54" s="21"/>
      <c r="D54" s="27">
        <v>850000</v>
      </c>
      <c r="E54" s="27">
        <f t="shared" si="14"/>
        <v>850000</v>
      </c>
      <c r="F54" s="27">
        <f t="shared" si="14"/>
        <v>850000</v>
      </c>
      <c r="G54" s="27">
        <f t="shared" si="14"/>
        <v>850000</v>
      </c>
      <c r="H54" s="27">
        <f t="shared" si="14"/>
        <v>850000</v>
      </c>
      <c r="I54" s="27">
        <f t="shared" si="14"/>
        <v>850000</v>
      </c>
      <c r="J54" s="27">
        <f t="shared" si="14"/>
        <v>850000</v>
      </c>
      <c r="K54" s="27">
        <f t="shared" si="14"/>
        <v>850000</v>
      </c>
      <c r="L54" s="27">
        <f t="shared" si="14"/>
        <v>850000</v>
      </c>
      <c r="M54" s="27">
        <f t="shared" si="14"/>
        <v>850000</v>
      </c>
      <c r="N54" s="27">
        <f t="shared" si="14"/>
        <v>850000</v>
      </c>
      <c r="O54" s="27">
        <f t="shared" si="14"/>
        <v>850000</v>
      </c>
      <c r="P54" s="40"/>
    </row>
    <row r="55" spans="2:16" x14ac:dyDescent="0.4">
      <c r="B55" s="30"/>
      <c r="C55" s="41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40"/>
    </row>
    <row r="56" spans="2:16" x14ac:dyDescent="0.4">
      <c r="B56" s="23" t="s">
        <v>39</v>
      </c>
      <c r="C56" s="41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40"/>
    </row>
    <row r="57" spans="2:16" x14ac:dyDescent="0.4">
      <c r="B57" s="32" t="s">
        <v>40</v>
      </c>
      <c r="D57" s="42">
        <f>4308855.62+517144</f>
        <v>4825999.62</v>
      </c>
      <c r="E57" s="42">
        <f t="shared" ref="E57:O62" si="15">D57</f>
        <v>4825999.62</v>
      </c>
      <c r="F57" s="42">
        <f t="shared" si="15"/>
        <v>4825999.62</v>
      </c>
      <c r="G57" s="42">
        <f t="shared" si="15"/>
        <v>4825999.62</v>
      </c>
      <c r="H57" s="42">
        <f t="shared" si="15"/>
        <v>4825999.62</v>
      </c>
      <c r="I57" s="42">
        <f t="shared" si="15"/>
        <v>4825999.62</v>
      </c>
      <c r="J57" s="42">
        <f t="shared" si="15"/>
        <v>4825999.62</v>
      </c>
      <c r="K57" s="42">
        <f t="shared" si="15"/>
        <v>4825999.62</v>
      </c>
      <c r="L57" s="42">
        <f t="shared" si="15"/>
        <v>4825999.62</v>
      </c>
      <c r="M57" s="42">
        <f t="shared" si="15"/>
        <v>4825999.62</v>
      </c>
      <c r="N57" s="42">
        <f t="shared" si="15"/>
        <v>4825999.62</v>
      </c>
      <c r="O57" s="42">
        <f t="shared" si="15"/>
        <v>4825999.62</v>
      </c>
      <c r="P57" s="40"/>
    </row>
    <row r="58" spans="2:16" x14ac:dyDescent="0.4">
      <c r="B58" s="32" t="s">
        <v>42</v>
      </c>
      <c r="D58" s="42">
        <v>2631766.63</v>
      </c>
      <c r="E58" s="42">
        <f t="shared" si="15"/>
        <v>2631766.63</v>
      </c>
      <c r="F58" s="42">
        <f t="shared" si="15"/>
        <v>2631766.63</v>
      </c>
      <c r="G58" s="42">
        <f t="shared" si="15"/>
        <v>2631766.63</v>
      </c>
      <c r="H58" s="42">
        <f t="shared" si="15"/>
        <v>2631766.63</v>
      </c>
      <c r="I58" s="42">
        <f t="shared" si="15"/>
        <v>2631766.63</v>
      </c>
      <c r="J58" s="42">
        <f t="shared" si="15"/>
        <v>2631766.63</v>
      </c>
      <c r="K58" s="42">
        <f t="shared" si="15"/>
        <v>2631766.63</v>
      </c>
      <c r="L58" s="42">
        <f t="shared" si="15"/>
        <v>2631766.63</v>
      </c>
      <c r="M58" s="42">
        <f t="shared" si="15"/>
        <v>2631766.63</v>
      </c>
      <c r="N58" s="42">
        <f t="shared" si="15"/>
        <v>2631766.63</v>
      </c>
      <c r="O58" s="42">
        <f t="shared" si="15"/>
        <v>2631766.63</v>
      </c>
      <c r="P58" s="40"/>
    </row>
    <row r="59" spans="2:16" x14ac:dyDescent="0.4">
      <c r="B59" s="33" t="s">
        <v>53</v>
      </c>
      <c r="D59" s="42">
        <f>450000+159150</f>
        <v>609150</v>
      </c>
      <c r="E59" s="42">
        <f t="shared" si="15"/>
        <v>609150</v>
      </c>
      <c r="F59" s="42">
        <f t="shared" si="15"/>
        <v>609150</v>
      </c>
      <c r="G59" s="42">
        <f t="shared" si="15"/>
        <v>609150</v>
      </c>
      <c r="H59" s="42">
        <f t="shared" si="15"/>
        <v>609150</v>
      </c>
      <c r="I59" s="42">
        <f t="shared" si="15"/>
        <v>609150</v>
      </c>
      <c r="J59" s="42">
        <f t="shared" si="15"/>
        <v>609150</v>
      </c>
      <c r="K59" s="42">
        <f t="shared" si="15"/>
        <v>609150</v>
      </c>
      <c r="L59" s="42">
        <f t="shared" si="15"/>
        <v>609150</v>
      </c>
      <c r="M59" s="42">
        <f t="shared" si="15"/>
        <v>609150</v>
      </c>
      <c r="N59" s="42">
        <f t="shared" si="15"/>
        <v>609150</v>
      </c>
      <c r="O59" s="42">
        <f t="shared" si="15"/>
        <v>609150</v>
      </c>
      <c r="P59" s="40"/>
    </row>
    <row r="60" spans="2:16" ht="15" customHeight="1" x14ac:dyDescent="0.4">
      <c r="B60" s="33" t="s">
        <v>44</v>
      </c>
      <c r="D60" s="44">
        <f>(9095833.25/3)+1538922.82583333</f>
        <v>4570867.242499996</v>
      </c>
      <c r="E60" s="44">
        <f t="shared" si="15"/>
        <v>4570867.242499996</v>
      </c>
      <c r="F60" s="44">
        <f t="shared" si="15"/>
        <v>4570867.242499996</v>
      </c>
      <c r="G60" s="44">
        <f t="shared" si="15"/>
        <v>4570867.242499996</v>
      </c>
      <c r="H60" s="44">
        <f t="shared" si="15"/>
        <v>4570867.242499996</v>
      </c>
      <c r="I60" s="44">
        <f t="shared" si="15"/>
        <v>4570867.242499996</v>
      </c>
      <c r="J60" s="44">
        <f t="shared" si="15"/>
        <v>4570867.242499996</v>
      </c>
      <c r="K60" s="44">
        <f t="shared" si="15"/>
        <v>4570867.242499996</v>
      </c>
      <c r="L60" s="44">
        <f t="shared" si="15"/>
        <v>4570867.242499996</v>
      </c>
      <c r="M60" s="44">
        <f t="shared" si="15"/>
        <v>4570867.242499996</v>
      </c>
      <c r="N60" s="44">
        <f t="shared" si="15"/>
        <v>4570867.242499996</v>
      </c>
      <c r="O60" s="44">
        <f t="shared" si="15"/>
        <v>4570867.242499996</v>
      </c>
      <c r="P60" s="40"/>
    </row>
    <row r="61" spans="2:16" ht="15" customHeight="1" x14ac:dyDescent="0.4">
      <c r="B61" s="29" t="s">
        <v>46</v>
      </c>
      <c r="D61" s="44">
        <f>(177333333.333333/7000+38544)</f>
        <v>63877.333333333285</v>
      </c>
      <c r="E61" s="44">
        <f t="shared" si="15"/>
        <v>63877.333333333285</v>
      </c>
      <c r="F61" s="44">
        <f t="shared" si="15"/>
        <v>63877.333333333285</v>
      </c>
      <c r="G61" s="44">
        <f t="shared" si="15"/>
        <v>63877.333333333285</v>
      </c>
      <c r="H61" s="44">
        <f t="shared" si="15"/>
        <v>63877.333333333285</v>
      </c>
      <c r="I61" s="44">
        <f t="shared" si="15"/>
        <v>63877.333333333285</v>
      </c>
      <c r="J61" s="44">
        <f t="shared" si="15"/>
        <v>63877.333333333285</v>
      </c>
      <c r="K61" s="44">
        <f t="shared" si="15"/>
        <v>63877.333333333285</v>
      </c>
      <c r="L61" s="44">
        <f t="shared" si="15"/>
        <v>63877.333333333285</v>
      </c>
      <c r="M61" s="44">
        <f t="shared" si="15"/>
        <v>63877.333333333285</v>
      </c>
      <c r="N61" s="44">
        <f t="shared" si="15"/>
        <v>63877.333333333285</v>
      </c>
      <c r="O61" s="44">
        <f t="shared" si="15"/>
        <v>63877.333333333285</v>
      </c>
      <c r="P61" s="40"/>
    </row>
    <row r="62" spans="2:16" ht="15" customHeight="1" x14ac:dyDescent="0.4">
      <c r="B62" s="29" t="s">
        <v>47</v>
      </c>
      <c r="D62" s="44">
        <f>((350000/12)+60000)</f>
        <v>89166.666666666672</v>
      </c>
      <c r="E62" s="44">
        <f t="shared" si="15"/>
        <v>89166.666666666672</v>
      </c>
      <c r="F62" s="44">
        <f t="shared" si="15"/>
        <v>89166.666666666672</v>
      </c>
      <c r="G62" s="44">
        <f t="shared" si="15"/>
        <v>89166.666666666672</v>
      </c>
      <c r="H62" s="44">
        <f t="shared" si="15"/>
        <v>89166.666666666672</v>
      </c>
      <c r="I62" s="44">
        <f t="shared" si="15"/>
        <v>89166.666666666672</v>
      </c>
      <c r="J62" s="44">
        <f t="shared" si="15"/>
        <v>89166.666666666672</v>
      </c>
      <c r="K62" s="44">
        <f t="shared" si="15"/>
        <v>89166.666666666672</v>
      </c>
      <c r="L62" s="44">
        <f t="shared" si="15"/>
        <v>89166.666666666672</v>
      </c>
      <c r="M62" s="44">
        <f t="shared" si="15"/>
        <v>89166.666666666672</v>
      </c>
      <c r="N62" s="44">
        <f t="shared" si="15"/>
        <v>89166.666666666672</v>
      </c>
      <c r="O62" s="44">
        <f t="shared" si="15"/>
        <v>89166.666666666672</v>
      </c>
      <c r="P62" s="40"/>
    </row>
    <row r="63" spans="2:16" ht="15" hidden="1" customHeight="1" x14ac:dyDescent="0.4">
      <c r="B63" s="33" t="s">
        <v>48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0"/>
    </row>
    <row r="64" spans="2:16" x14ac:dyDescent="0.4">
      <c r="B64" s="30"/>
      <c r="C64" s="41"/>
      <c r="D64" s="45"/>
      <c r="O64" s="42">
        <v>28479666</v>
      </c>
    </row>
    <row r="65" spans="2:22" x14ac:dyDescent="0.4">
      <c r="B65" s="20" t="s">
        <v>56</v>
      </c>
      <c r="O65" s="40">
        <f>O64-P17</f>
        <v>28479666</v>
      </c>
    </row>
    <row r="66" spans="2:22" x14ac:dyDescent="0.4">
      <c r="B66" s="23"/>
      <c r="C66" s="23"/>
      <c r="D66" s="21" t="s">
        <v>57</v>
      </c>
      <c r="E66" s="21" t="s">
        <v>58</v>
      </c>
      <c r="F66" s="21" t="s">
        <v>59</v>
      </c>
      <c r="G66" s="21" t="s">
        <v>60</v>
      </c>
      <c r="H66" s="21" t="s">
        <v>61</v>
      </c>
      <c r="I66" s="21" t="s">
        <v>62</v>
      </c>
      <c r="O66" s="40">
        <f>O65/12</f>
        <v>2373305.5</v>
      </c>
    </row>
    <row r="67" spans="2:22" x14ac:dyDescent="0.4">
      <c r="B67" s="23" t="s">
        <v>63</v>
      </c>
      <c r="C67" s="23"/>
      <c r="E67" s="46">
        <v>0.15</v>
      </c>
      <c r="F67" s="46">
        <v>0.15</v>
      </c>
      <c r="G67" s="46">
        <v>0.15</v>
      </c>
      <c r="H67" s="46">
        <v>0.15</v>
      </c>
      <c r="I67" s="46"/>
      <c r="J67" s="47"/>
      <c r="K67" s="47"/>
      <c r="L67" s="47"/>
      <c r="M67" s="47"/>
      <c r="N67" s="47"/>
    </row>
    <row r="68" spans="2:22" x14ac:dyDescent="0.4">
      <c r="B68" s="23" t="s">
        <v>64</v>
      </c>
      <c r="C68" s="23"/>
      <c r="E68" s="46">
        <v>0.15</v>
      </c>
      <c r="F68" s="46">
        <v>0.15</v>
      </c>
      <c r="G68" s="46">
        <v>0.15</v>
      </c>
      <c r="H68" s="46">
        <v>0.15</v>
      </c>
      <c r="I68" s="46"/>
      <c r="J68" s="47"/>
      <c r="K68" s="47"/>
      <c r="L68" s="47"/>
      <c r="M68" s="47"/>
      <c r="N68" s="47"/>
    </row>
    <row r="69" spans="2:22" x14ac:dyDescent="0.4">
      <c r="B69" s="23"/>
      <c r="C69" s="23"/>
      <c r="E69" s="46"/>
      <c r="F69" s="46"/>
      <c r="G69" s="46"/>
      <c r="H69" s="46"/>
      <c r="I69" s="48"/>
      <c r="J69" s="47"/>
      <c r="K69" s="47"/>
      <c r="L69" s="47"/>
      <c r="M69" s="47"/>
      <c r="N69" s="47"/>
    </row>
    <row r="70" spans="2:22" x14ac:dyDescent="0.4">
      <c r="B70" s="29" t="s">
        <v>65</v>
      </c>
      <c r="C70" s="26">
        <v>10</v>
      </c>
      <c r="E70" s="46">
        <v>0.2</v>
      </c>
      <c r="F70" s="46">
        <v>0.2</v>
      </c>
      <c r="G70" s="46">
        <v>0.2</v>
      </c>
      <c r="H70" s="46">
        <v>0.2</v>
      </c>
      <c r="J70" s="47"/>
      <c r="K70" s="47"/>
      <c r="L70" s="47"/>
      <c r="M70" s="47"/>
      <c r="N70" s="47"/>
    </row>
    <row r="71" spans="2:22" x14ac:dyDescent="0.4">
      <c r="B71" s="29" t="s">
        <v>66</v>
      </c>
      <c r="C71" s="49">
        <v>0.1</v>
      </c>
      <c r="D71" s="45">
        <f>(P23/12)*C71</f>
        <v>19916666.666666672</v>
      </c>
      <c r="E71" s="46">
        <v>0.1</v>
      </c>
      <c r="F71" s="46">
        <v>0.08</v>
      </c>
      <c r="G71" s="46">
        <v>0.08</v>
      </c>
      <c r="H71" s="46">
        <v>0.06</v>
      </c>
      <c r="I71" s="46">
        <f>D71/D23</f>
        <v>0.10000000000000002</v>
      </c>
      <c r="J71" s="47"/>
      <c r="K71" s="47"/>
      <c r="L71" s="47"/>
      <c r="M71" s="47"/>
      <c r="N71" s="47"/>
    </row>
    <row r="72" spans="2:22" x14ac:dyDescent="0.4">
      <c r="B72" s="29" t="s">
        <v>67</v>
      </c>
      <c r="C72" s="49"/>
      <c r="D72" s="50">
        <f>U88</f>
        <v>5249350</v>
      </c>
      <c r="E72" s="46">
        <v>0.1</v>
      </c>
      <c r="F72" s="46">
        <v>0.08</v>
      </c>
      <c r="G72" s="46">
        <v>0.05</v>
      </c>
      <c r="H72" s="46">
        <v>0.05</v>
      </c>
      <c r="I72" s="46"/>
      <c r="J72" s="47"/>
      <c r="K72" s="47"/>
      <c r="L72" s="47"/>
      <c r="M72" s="47"/>
      <c r="N72" s="47"/>
    </row>
    <row r="73" spans="2:22" x14ac:dyDescent="0.4">
      <c r="B73" s="29" t="s">
        <v>68</v>
      </c>
      <c r="C73" s="49">
        <v>0.01</v>
      </c>
      <c r="D73" s="50">
        <f>($P$23*C73)/12</f>
        <v>1991666.666666667</v>
      </c>
      <c r="E73" s="46"/>
      <c r="F73" s="46"/>
      <c r="G73" s="46"/>
      <c r="H73" s="46"/>
      <c r="I73" s="46"/>
      <c r="J73" s="47"/>
      <c r="K73" s="47"/>
      <c r="L73" s="47"/>
      <c r="M73" s="47"/>
      <c r="N73" s="47"/>
    </row>
    <row r="74" spans="2:22" x14ac:dyDescent="0.4">
      <c r="B74" s="29" t="s">
        <v>69</v>
      </c>
      <c r="C74" s="49">
        <v>0.25</v>
      </c>
      <c r="D74" s="45">
        <f>(P23/12)*C74</f>
        <v>49791666.666666679</v>
      </c>
      <c r="E74" s="26" t="s">
        <v>110</v>
      </c>
      <c r="I74" s="47"/>
      <c r="J74" s="47"/>
      <c r="K74" s="47"/>
      <c r="L74" s="47"/>
      <c r="M74" s="47"/>
      <c r="N74" s="47"/>
    </row>
    <row r="75" spans="2:22" x14ac:dyDescent="0.4">
      <c r="D75" s="50"/>
    </row>
    <row r="76" spans="2:22" x14ac:dyDescent="0.4">
      <c r="B76" s="29" t="s">
        <v>70</v>
      </c>
      <c r="D76" s="50"/>
    </row>
    <row r="77" spans="2:22" x14ac:dyDescent="0.4">
      <c r="B77" s="19" t="s">
        <v>71</v>
      </c>
      <c r="C77" s="49">
        <v>0.2</v>
      </c>
      <c r="D77" s="50">
        <f>(P23*C77)/12</f>
        <v>39833333.333333343</v>
      </c>
      <c r="E77" s="46">
        <v>0.1</v>
      </c>
      <c r="F77" s="46">
        <v>0.1</v>
      </c>
      <c r="G77" s="46">
        <v>0.1</v>
      </c>
      <c r="H77" s="46">
        <v>0.1</v>
      </c>
      <c r="I77" s="47"/>
      <c r="R77" s="29" t="s">
        <v>72</v>
      </c>
      <c r="S77" s="29"/>
      <c r="T77" s="29"/>
      <c r="U77" s="29"/>
      <c r="V77" s="29"/>
    </row>
    <row r="78" spans="2:22" x14ac:dyDescent="0.4">
      <c r="B78" s="19" t="s">
        <v>73</v>
      </c>
      <c r="C78" s="49">
        <v>0.01</v>
      </c>
      <c r="D78" s="50">
        <f>($P$23*C78)/12</f>
        <v>1991666.666666667</v>
      </c>
      <c r="E78" s="47"/>
      <c r="F78" s="47"/>
      <c r="G78" s="47"/>
      <c r="H78" s="47"/>
      <c r="I78" s="29" t="s">
        <v>74</v>
      </c>
      <c r="R78" s="29" t="s">
        <v>75</v>
      </c>
      <c r="S78" s="26">
        <v>1</v>
      </c>
      <c r="T78" s="51">
        <f>1648628.56641109+1000000</f>
        <v>2648628.5664110901</v>
      </c>
      <c r="U78" s="52">
        <f>T78*0.25</f>
        <v>662157.14160277252</v>
      </c>
      <c r="V78" s="29" t="s">
        <v>76</v>
      </c>
    </row>
    <row r="79" spans="2:22" x14ac:dyDescent="0.4">
      <c r="B79" s="19" t="s">
        <v>77</v>
      </c>
      <c r="C79" s="53">
        <v>1E-4</v>
      </c>
      <c r="D79" s="50">
        <f>($P$23*C79)/12</f>
        <v>19916.666666666672</v>
      </c>
      <c r="E79" s="47"/>
      <c r="F79" s="47"/>
      <c r="G79" s="47"/>
      <c r="H79" s="47"/>
      <c r="I79" s="29" t="s">
        <v>78</v>
      </c>
      <c r="R79" s="29" t="s">
        <v>79</v>
      </c>
      <c r="S79" s="26">
        <v>1</v>
      </c>
      <c r="T79" s="51">
        <v>684286.29333333333</v>
      </c>
      <c r="U79" s="52">
        <f>T79*0.25</f>
        <v>171071.57333333333</v>
      </c>
      <c r="V79" s="29" t="s">
        <v>76</v>
      </c>
    </row>
    <row r="80" spans="2:22" x14ac:dyDescent="0.4">
      <c r="B80" s="19" t="s">
        <v>80</v>
      </c>
      <c r="D80" s="50">
        <v>200000</v>
      </c>
      <c r="E80" s="47"/>
      <c r="F80" s="47"/>
      <c r="G80" s="47"/>
      <c r="H80" s="47"/>
      <c r="I80" s="47"/>
      <c r="R80" s="29"/>
      <c r="S80" s="29"/>
      <c r="T80" s="29"/>
      <c r="U80" s="29"/>
      <c r="V80" s="29"/>
    </row>
    <row r="81" spans="2:22" x14ac:dyDescent="0.4">
      <c r="B81" s="19" t="s">
        <v>81</v>
      </c>
      <c r="C81" s="49">
        <v>0</v>
      </c>
      <c r="D81" s="50">
        <f>5000000/12*0</f>
        <v>0</v>
      </c>
      <c r="E81" s="47"/>
      <c r="F81" s="47"/>
      <c r="G81" s="47"/>
      <c r="H81" s="47"/>
      <c r="I81" s="47"/>
      <c r="R81" s="29"/>
      <c r="S81" s="29"/>
      <c r="T81" s="29"/>
      <c r="U81" s="54">
        <f>SUM(U78:U79)</f>
        <v>833228.71493610588</v>
      </c>
      <c r="V81" s="29"/>
    </row>
    <row r="82" spans="2:22" x14ac:dyDescent="0.4">
      <c r="B82" s="19" t="s">
        <v>82</v>
      </c>
      <c r="D82" s="50">
        <v>350000</v>
      </c>
      <c r="E82" s="47"/>
      <c r="F82" s="47"/>
      <c r="G82" s="47"/>
      <c r="H82" s="47"/>
      <c r="I82" s="47"/>
      <c r="K82" s="28"/>
    </row>
    <row r="83" spans="2:22" x14ac:dyDescent="0.4">
      <c r="B83" s="19" t="s">
        <v>83</v>
      </c>
      <c r="D83" s="50">
        <f t="shared" ref="D83:D86" si="16">$P$23*C83</f>
        <v>0</v>
      </c>
      <c r="E83" s="47"/>
      <c r="F83" s="47"/>
      <c r="G83" s="47"/>
      <c r="H83" s="47"/>
      <c r="I83" s="47"/>
      <c r="K83" s="28"/>
      <c r="R83" s="33" t="s">
        <v>84</v>
      </c>
      <c r="S83" s="26">
        <v>1</v>
      </c>
      <c r="T83" s="55">
        <v>506275</v>
      </c>
      <c r="U83" s="56">
        <f>S83*T83</f>
        <v>506275</v>
      </c>
    </row>
    <row r="84" spans="2:22" x14ac:dyDescent="0.4">
      <c r="B84" s="19" t="s">
        <v>85</v>
      </c>
      <c r="D84" s="50">
        <f>7000000/12*0</f>
        <v>0</v>
      </c>
      <c r="E84" s="47"/>
      <c r="F84" s="47"/>
      <c r="G84" s="47"/>
      <c r="H84" s="47"/>
      <c r="I84" s="47"/>
      <c r="K84" s="28"/>
      <c r="R84" s="33" t="s">
        <v>86</v>
      </c>
      <c r="S84" s="26">
        <v>1</v>
      </c>
      <c r="T84" s="57">
        <v>925000</v>
      </c>
      <c r="U84" s="56">
        <f t="shared" ref="U84:U87" si="17">S84*T84</f>
        <v>925000</v>
      </c>
    </row>
    <row r="85" spans="2:22" x14ac:dyDescent="0.4">
      <c r="B85" s="19" t="s">
        <v>87</v>
      </c>
      <c r="D85" s="50">
        <v>0</v>
      </c>
      <c r="E85" s="47"/>
      <c r="F85" s="47"/>
      <c r="G85" s="47"/>
      <c r="H85" s="47"/>
      <c r="I85" s="47"/>
      <c r="K85" s="28">
        <v>27994978.316933122</v>
      </c>
      <c r="R85" s="33" t="s">
        <v>88</v>
      </c>
      <c r="S85" s="26">
        <v>4</v>
      </c>
      <c r="T85" s="55">
        <v>473750</v>
      </c>
      <c r="U85" s="56">
        <f t="shared" si="17"/>
        <v>1895000</v>
      </c>
    </row>
    <row r="86" spans="2:22" x14ac:dyDescent="0.4">
      <c r="B86" s="19" t="s">
        <v>89</v>
      </c>
      <c r="D86" s="50">
        <f t="shared" si="16"/>
        <v>0</v>
      </c>
      <c r="E86" s="47"/>
      <c r="F86" s="47"/>
      <c r="G86" s="47"/>
      <c r="H86" s="47"/>
      <c r="I86" s="47"/>
      <c r="K86" s="28">
        <f>K85/12</f>
        <v>2332914.8597444268</v>
      </c>
      <c r="R86" s="33" t="s">
        <v>90</v>
      </c>
      <c r="S86" s="26">
        <v>2</v>
      </c>
      <c r="T86" s="55">
        <v>213675</v>
      </c>
      <c r="U86" s="56">
        <f t="shared" si="17"/>
        <v>427350</v>
      </c>
    </row>
    <row r="87" spans="2:22" x14ac:dyDescent="0.4">
      <c r="B87" s="19" t="s">
        <v>91</v>
      </c>
      <c r="D87" s="50">
        <v>400000</v>
      </c>
      <c r="E87" s="47"/>
      <c r="F87" s="47"/>
      <c r="G87" s="47"/>
      <c r="H87" s="47"/>
      <c r="I87" s="47"/>
      <c r="R87" s="33" t="s">
        <v>92</v>
      </c>
      <c r="S87" s="26">
        <v>7</v>
      </c>
      <c r="T87" s="55">
        <v>213675</v>
      </c>
      <c r="U87" s="56">
        <f t="shared" si="17"/>
        <v>1495725</v>
      </c>
    </row>
    <row r="88" spans="2:22" x14ac:dyDescent="0.4">
      <c r="B88" s="19" t="s">
        <v>93</v>
      </c>
      <c r="D88" s="50">
        <f>350000+300000+550000+N("GLA, NSITF, Professional Indemnity Insurances")</f>
        <v>1200000</v>
      </c>
      <c r="E88" s="47"/>
      <c r="F88" s="47"/>
      <c r="G88" s="47"/>
      <c r="H88" s="47"/>
      <c r="I88" s="47"/>
      <c r="U88" s="56">
        <f>SUM(U83:U87)</f>
        <v>5249350</v>
      </c>
    </row>
    <row r="89" spans="2:22" x14ac:dyDescent="0.4">
      <c r="B89" s="29" t="s">
        <v>94</v>
      </c>
      <c r="C89" s="49"/>
      <c r="D89" s="58">
        <v>1500000</v>
      </c>
    </row>
    <row r="90" spans="2:22" x14ac:dyDescent="0.4">
      <c r="B90" s="29" t="s">
        <v>95</v>
      </c>
      <c r="D90" s="58">
        <v>3000000</v>
      </c>
      <c r="Q90" s="55"/>
    </row>
    <row r="91" spans="2:22" x14ac:dyDescent="0.4">
      <c r="B91" s="29" t="s">
        <v>96</v>
      </c>
      <c r="D91" s="45">
        <f>1242889307.60419/12*0</f>
        <v>0</v>
      </c>
      <c r="Q91" s="55"/>
    </row>
    <row r="92" spans="2:22" x14ac:dyDescent="0.4">
      <c r="C92" s="49">
        <v>0</v>
      </c>
      <c r="D92" s="45">
        <f>(P23*C92)/12</f>
        <v>0</v>
      </c>
      <c r="Q92" s="55"/>
    </row>
    <row r="93" spans="2:22" x14ac:dyDescent="0.4">
      <c r="D93" s="45"/>
      <c r="Q93" s="55"/>
    </row>
    <row r="94" spans="2:22" x14ac:dyDescent="0.4">
      <c r="D94" s="45"/>
    </row>
  </sheetData>
  <dataValidations disablePrompts="1" count="1">
    <dataValidation type="list" allowBlank="1" showInputMessage="1" showErrorMessage="1" sqref="C3 C5:C12 C28:C35 C48:C54" xr:uid="{D225E02A-4B1E-40D9-BA23-ADD3FE2950B8}">
      <formula1>"Upside,Downside,Base case"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2BC3-9877-4B34-BB6A-E2E105D26522}">
  <sheetPr>
    <tabColor theme="4" tint="0.59999389629810485"/>
    <outlinePr summaryRight="0"/>
  </sheetPr>
  <dimension ref="A2:Y53"/>
  <sheetViews>
    <sheetView showGridLines="0" view="pageBreakPreview" zoomScale="94" zoomScaleNormal="100" zoomScaleSheetLayoutView="100" workbookViewId="0">
      <pane xSplit="3" ySplit="4" topLeftCell="D25" activePane="bottomRight" state="frozen"/>
      <selection activeCell="D79" sqref="D79"/>
      <selection pane="topRight" activeCell="D79" sqref="D79"/>
      <selection pane="bottomLeft" activeCell="D79" sqref="D79"/>
      <selection pane="bottomRight" activeCell="D79" sqref="D79"/>
    </sheetView>
  </sheetViews>
  <sheetFormatPr defaultColWidth="9.1796875" defaultRowHeight="16" outlineLevelRow="1" outlineLevelCol="1" x14ac:dyDescent="0.35"/>
  <cols>
    <col min="1" max="1" width="1.453125" style="26" customWidth="1"/>
    <col min="2" max="2" width="32.08984375" style="33" bestFit="1" customWidth="1"/>
    <col min="3" max="3" width="7.08984375" style="26" bestFit="1" customWidth="1"/>
    <col min="4" max="15" width="15.36328125" style="26" customWidth="1" outlineLevel="1"/>
    <col min="16" max="16" width="16.54296875" style="21" bestFit="1" customWidth="1" collapsed="1"/>
    <col min="17" max="17" width="21.54296875" style="82" hidden="1" customWidth="1" outlineLevel="1"/>
    <col min="18" max="18" width="22" style="82" hidden="1" customWidth="1" outlineLevel="1"/>
    <col min="19" max="19" width="21" style="82" hidden="1" customWidth="1" outlineLevel="1"/>
    <col min="20" max="20" width="21.81640625" style="82" hidden="1" customWidth="1" outlineLevel="1"/>
    <col min="21" max="21" width="21.81640625" style="26" customWidth="1"/>
    <col min="22" max="16384" width="9.1796875" style="26"/>
  </cols>
  <sheetData>
    <row r="2" spans="1:25" ht="16.5" thickBot="1" x14ac:dyDescent="0.4">
      <c r="B2" s="59" t="s">
        <v>98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1"/>
      <c r="R2" s="61"/>
      <c r="S2" s="61"/>
      <c r="T2" s="61"/>
      <c r="U2" s="50"/>
    </row>
    <row r="3" spans="1:25" s="21" customFormat="1" ht="17" thickTop="1" thickBot="1" x14ac:dyDescent="0.4">
      <c r="A3" s="62"/>
      <c r="B3" s="63"/>
      <c r="C3" s="62"/>
      <c r="D3" s="64" t="s">
        <v>17</v>
      </c>
      <c r="E3" s="64" t="s">
        <v>18</v>
      </c>
      <c r="F3" s="64" t="s">
        <v>19</v>
      </c>
      <c r="G3" s="64" t="s">
        <v>20</v>
      </c>
      <c r="H3" s="64" t="s">
        <v>21</v>
      </c>
      <c r="I3" s="64" t="s">
        <v>22</v>
      </c>
      <c r="J3" s="64" t="s">
        <v>23</v>
      </c>
      <c r="K3" s="64" t="s">
        <v>24</v>
      </c>
      <c r="L3" s="64" t="s">
        <v>25</v>
      </c>
      <c r="M3" s="64" t="s">
        <v>26</v>
      </c>
      <c r="N3" s="64" t="s">
        <v>27</v>
      </c>
      <c r="O3" s="64" t="s">
        <v>28</v>
      </c>
      <c r="P3" s="62" t="s">
        <v>57</v>
      </c>
      <c r="Q3" s="62" t="s">
        <v>58</v>
      </c>
      <c r="R3" s="62" t="s">
        <v>59</v>
      </c>
      <c r="S3" s="62" t="s">
        <v>60</v>
      </c>
      <c r="T3" s="62" t="s">
        <v>61</v>
      </c>
      <c r="U3" s="50"/>
      <c r="V3" s="26"/>
      <c r="W3" s="26"/>
      <c r="X3" s="26"/>
      <c r="Y3" s="26"/>
    </row>
    <row r="4" spans="1:25" ht="17" thickTop="1" thickBot="1" x14ac:dyDescent="0.4">
      <c r="A4" s="62"/>
      <c r="B4" s="63"/>
      <c r="C4" s="62"/>
      <c r="D4" s="62" t="s">
        <v>15</v>
      </c>
      <c r="E4" s="62" t="s">
        <v>15</v>
      </c>
      <c r="F4" s="62" t="s">
        <v>15</v>
      </c>
      <c r="G4" s="62" t="s">
        <v>15</v>
      </c>
      <c r="H4" s="62" t="s">
        <v>15</v>
      </c>
      <c r="I4" s="62" t="s">
        <v>15</v>
      </c>
      <c r="J4" s="62" t="s">
        <v>15</v>
      </c>
      <c r="K4" s="62" t="s">
        <v>15</v>
      </c>
      <c r="L4" s="62" t="s">
        <v>15</v>
      </c>
      <c r="M4" s="62" t="s">
        <v>15</v>
      </c>
      <c r="N4" s="62" t="s">
        <v>15</v>
      </c>
      <c r="O4" s="62" t="s">
        <v>15</v>
      </c>
      <c r="P4" s="62" t="s">
        <v>99</v>
      </c>
      <c r="Q4" s="62" t="s">
        <v>99</v>
      </c>
      <c r="R4" s="62" t="s">
        <v>99</v>
      </c>
      <c r="S4" s="62" t="s">
        <v>99</v>
      </c>
      <c r="T4" s="62" t="s">
        <v>99</v>
      </c>
      <c r="U4" s="50"/>
    </row>
    <row r="5" spans="1:25" ht="18" customHeight="1" thickTop="1" thickBot="1" x14ac:dyDescent="0.4">
      <c r="B5" s="65" t="s">
        <v>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7"/>
      <c r="R5" s="67"/>
      <c r="S5" s="67"/>
      <c r="T5" s="67"/>
      <c r="U5" s="50"/>
    </row>
    <row r="6" spans="1:25" ht="18" customHeight="1" x14ac:dyDescent="0.4">
      <c r="B6" s="68" t="s">
        <v>30</v>
      </c>
      <c r="D6" s="58">
        <f>VLOOKUP($B6,'Assumption (MedClinic-Oando)'!$B:$P,3,FALSE)</f>
        <v>0</v>
      </c>
      <c r="E6" s="58">
        <f>VLOOKUP($B6,'Assumption (MedClinic-Oando)'!$B:$P,4,FALSE)</f>
        <v>0</v>
      </c>
      <c r="F6" s="58">
        <f>VLOOKUP($B6,'Assumption (MedClinic-Oando)'!$B:$P,5,FALSE)</f>
        <v>0</v>
      </c>
      <c r="G6" s="58">
        <f>VLOOKUP($B6,'Assumption (MedClinic-Oando)'!$B:$P,6,FALSE)</f>
        <v>0</v>
      </c>
      <c r="H6" s="58">
        <f>VLOOKUP($B6,'Assumption (MedClinic-Oando)'!$B:$P,7,FALSE)</f>
        <v>0</v>
      </c>
      <c r="I6" s="58">
        <f>VLOOKUP($B6,'Assumption (MedClinic-Oando)'!$B:$P,8,FALSE)</f>
        <v>0</v>
      </c>
      <c r="J6" s="58">
        <f>VLOOKUP($B6,'Assumption (MedClinic-Oando)'!$B:$P,9,FALSE)</f>
        <v>0</v>
      </c>
      <c r="K6" s="58">
        <f>VLOOKUP($B6,'Assumption (MedClinic-Oando)'!$B:$P,10,FALSE)</f>
        <v>0</v>
      </c>
      <c r="L6" s="58">
        <f>VLOOKUP($B6,'Assumption (MedClinic-Oando)'!$B:$P,11,FALSE)</f>
        <v>0</v>
      </c>
      <c r="M6" s="58">
        <f>VLOOKUP($B6,'Assumption (MedClinic-Oando)'!$B:$P,12,FALSE)</f>
        <v>0</v>
      </c>
      <c r="N6" s="58">
        <f>VLOOKUP($B6,'Assumption (MedClinic-Oando)'!$B:$P,13,FALSE)</f>
        <v>0</v>
      </c>
      <c r="O6" s="58">
        <f>VLOOKUP($B6,'Assumption (MedClinic-Oando)'!$B:$P,14,FALSE)</f>
        <v>0</v>
      </c>
      <c r="P6" s="69">
        <f>SUM(D6:O6)</f>
        <v>0</v>
      </c>
      <c r="Q6" s="58">
        <f>P6*(1+'[2]Assumption (Advisory)'!E$45)*(1+'[2]Assumption (Advisory)'!E$48)</f>
        <v>0</v>
      </c>
      <c r="R6" s="58">
        <f>Q6*(1+'[2]Assumption (Advisory)'!F$45)*(1+'[2]Assumption (Advisory)'!F$48)</f>
        <v>0</v>
      </c>
      <c r="S6" s="58">
        <f>R6*(1+'[2]Assumption (Advisory)'!G$45)*(1+'[2]Assumption (Advisory)'!G$48)</f>
        <v>0</v>
      </c>
      <c r="T6" s="58">
        <f>S6*(1+'[2]Assumption (Advisory)'!H$45)*(1+'[2]Assumption (Advisory)'!H$48)</f>
        <v>0</v>
      </c>
      <c r="U6" s="50"/>
    </row>
    <row r="7" spans="1:25" x14ac:dyDescent="0.4">
      <c r="B7" s="68" t="s">
        <v>39</v>
      </c>
      <c r="D7" s="58">
        <f>VLOOKUP($B7,'Assumption (MedClinic-Oando)'!$B:$P,3,FALSE)</f>
        <v>199166666.66666669</v>
      </c>
      <c r="E7" s="58">
        <f>VLOOKUP($B7,'Assumption (MedClinic-Oando)'!$B:$P,4,FALSE)</f>
        <v>199166666.66666669</v>
      </c>
      <c r="F7" s="58">
        <f>VLOOKUP($B7,'Assumption (MedClinic-Oando)'!$B:$P,5,FALSE)</f>
        <v>199166666.66666669</v>
      </c>
      <c r="G7" s="58">
        <f>VLOOKUP($B7,'Assumption (MedClinic-Oando)'!$B:$P,6,FALSE)</f>
        <v>199166666.66666669</v>
      </c>
      <c r="H7" s="58">
        <f>VLOOKUP($B7,'Assumption (MedClinic-Oando)'!$B:$P,7,FALSE)</f>
        <v>199166666.66666669</v>
      </c>
      <c r="I7" s="58">
        <f>VLOOKUP($B7,'Assumption (MedClinic-Oando)'!$B:$P,8,FALSE)</f>
        <v>199166666.66666669</v>
      </c>
      <c r="J7" s="58">
        <f>VLOOKUP($B7,'Assumption (MedClinic-Oando)'!$B:$P,9,FALSE)</f>
        <v>199166666.66666669</v>
      </c>
      <c r="K7" s="58">
        <f>VLOOKUP($B7,'Assumption (MedClinic-Oando)'!$B:$P,10,FALSE)</f>
        <v>199166666.66666669</v>
      </c>
      <c r="L7" s="58">
        <f>VLOOKUP($B7,'Assumption (MedClinic-Oando)'!$B:$P,11,FALSE)</f>
        <v>199166666.66666669</v>
      </c>
      <c r="M7" s="58">
        <f>VLOOKUP($B7,'Assumption (MedClinic-Oando)'!$B:$P,12,FALSE)</f>
        <v>199166666.66666669</v>
      </c>
      <c r="N7" s="58">
        <f>VLOOKUP($B7,'Assumption (MedClinic-Oando)'!$B:$P,13,FALSE)</f>
        <v>199166666.66666669</v>
      </c>
      <c r="O7" s="58">
        <f>VLOOKUP($B7,'Assumption (MedClinic-Oando)'!$B:$P,14,FALSE)</f>
        <v>199166666.66666669</v>
      </c>
      <c r="P7" s="69">
        <f>SUM(D7:O7)</f>
        <v>2390000000.0000005</v>
      </c>
      <c r="Q7" s="58">
        <f>P7*(1+'[2]Assumption (Advisory)'!E$45)*(1+'[2]Assumption (Advisory)'!E$48)</f>
        <v>3298200000.0000005</v>
      </c>
      <c r="R7" s="58">
        <f>Q7*(1+'[2]Assumption (Advisory)'!F$45)*(1+'[2]Assumption (Advisory)'!F$48)</f>
        <v>4551516000</v>
      </c>
      <c r="S7" s="58">
        <f>R7*(1+'[2]Assumption (Advisory)'!G$45)*(1+'[2]Assumption (Advisory)'!G$48)</f>
        <v>6281092080</v>
      </c>
      <c r="T7" s="58">
        <f>S7*(1+'[2]Assumption (Advisory)'!H$45)*(1+'[2]Assumption (Advisory)'!H$48)</f>
        <v>8667907070.3999977</v>
      </c>
      <c r="U7" s="50"/>
    </row>
    <row r="8" spans="1:25" ht="16.5" thickBot="1" x14ac:dyDescent="0.4">
      <c r="B8" s="65"/>
      <c r="C8" s="65"/>
      <c r="D8" s="70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2"/>
      <c r="Q8" s="72"/>
      <c r="R8" s="72"/>
      <c r="S8" s="72"/>
      <c r="T8" s="72"/>
      <c r="U8" s="50"/>
    </row>
    <row r="9" spans="1:25" s="21" customFormat="1" ht="16.5" thickBot="1" x14ac:dyDescent="0.4">
      <c r="B9" s="65" t="s">
        <v>49</v>
      </c>
      <c r="C9" s="65"/>
      <c r="D9" s="70">
        <f t="shared" ref="D9:T9" si="0">SUM(D6:D7)</f>
        <v>199166666.66666669</v>
      </c>
      <c r="E9" s="70">
        <f t="shared" si="0"/>
        <v>199166666.66666669</v>
      </c>
      <c r="F9" s="70">
        <f t="shared" si="0"/>
        <v>199166666.66666669</v>
      </c>
      <c r="G9" s="70">
        <f t="shared" si="0"/>
        <v>199166666.66666669</v>
      </c>
      <c r="H9" s="70">
        <f t="shared" si="0"/>
        <v>199166666.66666669</v>
      </c>
      <c r="I9" s="70">
        <f t="shared" si="0"/>
        <v>199166666.66666669</v>
      </c>
      <c r="J9" s="70">
        <f t="shared" si="0"/>
        <v>199166666.66666669</v>
      </c>
      <c r="K9" s="70">
        <f t="shared" si="0"/>
        <v>199166666.66666669</v>
      </c>
      <c r="L9" s="70">
        <f t="shared" si="0"/>
        <v>199166666.66666669</v>
      </c>
      <c r="M9" s="70">
        <f t="shared" si="0"/>
        <v>199166666.66666669</v>
      </c>
      <c r="N9" s="70">
        <f t="shared" si="0"/>
        <v>199166666.66666669</v>
      </c>
      <c r="O9" s="70">
        <f t="shared" si="0"/>
        <v>199166666.66666669</v>
      </c>
      <c r="P9" s="70">
        <f t="shared" si="0"/>
        <v>2390000000.0000005</v>
      </c>
      <c r="Q9" s="71">
        <f t="shared" si="0"/>
        <v>3298200000.0000005</v>
      </c>
      <c r="R9" s="71">
        <f t="shared" si="0"/>
        <v>4551516000</v>
      </c>
      <c r="S9" s="71">
        <f t="shared" si="0"/>
        <v>6281092080</v>
      </c>
      <c r="T9" s="71">
        <f t="shared" si="0"/>
        <v>8667907070.3999977</v>
      </c>
      <c r="U9" s="50"/>
      <c r="V9" s="26"/>
      <c r="W9" s="26"/>
      <c r="X9" s="26"/>
      <c r="Y9" s="26"/>
    </row>
    <row r="10" spans="1:25" x14ac:dyDescent="0.35"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69"/>
      <c r="Q10" s="46"/>
      <c r="R10" s="46"/>
      <c r="S10" s="46"/>
      <c r="T10" s="46"/>
      <c r="U10" s="50"/>
    </row>
    <row r="11" spans="1:25" ht="16.5" thickBot="1" x14ac:dyDescent="0.4">
      <c r="B11" s="65" t="s">
        <v>100</v>
      </c>
      <c r="C11" s="66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50"/>
    </row>
    <row r="12" spans="1:25" x14ac:dyDescent="0.35">
      <c r="B12" s="29" t="s">
        <v>66</v>
      </c>
      <c r="C12" s="73"/>
      <c r="D12" s="58">
        <f>VLOOKUP($B12,'Assumption (MedClinic-Oando)'!$B:$P,3,FALSE)</f>
        <v>19916666.666666672</v>
      </c>
      <c r="E12" s="58">
        <f>D12</f>
        <v>19916666.666666672</v>
      </c>
      <c r="F12" s="58">
        <f t="shared" ref="F12:O12" si="1">E12</f>
        <v>19916666.666666672</v>
      </c>
      <c r="G12" s="58">
        <f t="shared" si="1"/>
        <v>19916666.666666672</v>
      </c>
      <c r="H12" s="58">
        <f t="shared" si="1"/>
        <v>19916666.666666672</v>
      </c>
      <c r="I12" s="58">
        <f t="shared" si="1"/>
        <v>19916666.666666672</v>
      </c>
      <c r="J12" s="58">
        <f t="shared" si="1"/>
        <v>19916666.666666672</v>
      </c>
      <c r="K12" s="58">
        <f t="shared" si="1"/>
        <v>19916666.666666672</v>
      </c>
      <c r="L12" s="58">
        <f t="shared" si="1"/>
        <v>19916666.666666672</v>
      </c>
      <c r="M12" s="58">
        <f t="shared" si="1"/>
        <v>19916666.666666672</v>
      </c>
      <c r="N12" s="58">
        <f t="shared" si="1"/>
        <v>19916666.666666672</v>
      </c>
      <c r="O12" s="58">
        <f t="shared" si="1"/>
        <v>19916666.666666672</v>
      </c>
      <c r="P12" s="69">
        <f>SUM(D12:O12)</f>
        <v>239000000.00000012</v>
      </c>
      <c r="Q12" s="58"/>
      <c r="R12" s="58"/>
      <c r="S12" s="58"/>
      <c r="T12" s="58"/>
      <c r="U12" s="50"/>
    </row>
    <row r="13" spans="1:25" x14ac:dyDescent="0.35">
      <c r="B13" s="29" t="s">
        <v>67</v>
      </c>
      <c r="C13" s="49"/>
      <c r="D13" s="58">
        <f>VLOOKUP($B13,'Assumption (MedClinic-Oando)'!$B:$P,3,FALSE)</f>
        <v>5249350</v>
      </c>
      <c r="E13" s="58">
        <f t="shared" ref="E13:O15" si="2">D13</f>
        <v>5249350</v>
      </c>
      <c r="F13" s="58">
        <f t="shared" si="2"/>
        <v>5249350</v>
      </c>
      <c r="G13" s="58">
        <f t="shared" si="2"/>
        <v>5249350</v>
      </c>
      <c r="H13" s="58">
        <f t="shared" si="2"/>
        <v>5249350</v>
      </c>
      <c r="I13" s="58">
        <f t="shared" si="2"/>
        <v>5249350</v>
      </c>
      <c r="J13" s="58">
        <f t="shared" si="2"/>
        <v>5249350</v>
      </c>
      <c r="K13" s="58">
        <f t="shared" si="2"/>
        <v>5249350</v>
      </c>
      <c r="L13" s="58">
        <f t="shared" si="2"/>
        <v>5249350</v>
      </c>
      <c r="M13" s="58">
        <f t="shared" si="2"/>
        <v>5249350</v>
      </c>
      <c r="N13" s="58">
        <f t="shared" si="2"/>
        <v>5249350</v>
      </c>
      <c r="O13" s="58">
        <f t="shared" si="2"/>
        <v>5249350</v>
      </c>
      <c r="P13" s="69">
        <f t="shared" ref="P13:P15" si="3">SUM(D13:O13)</f>
        <v>62992200</v>
      </c>
      <c r="Q13" s="58">
        <f>P13*(1+'[2]Assumption (Advisory)'!E$45)*(1+'[2]Assumption (Advisory)'!E$48)</f>
        <v>86929236</v>
      </c>
      <c r="R13" s="58">
        <f>Q13*(1+'[2]Assumption (Advisory)'!F$45)*(1+'[2]Assumption (Advisory)'!F$48)</f>
        <v>119962345.67999999</v>
      </c>
      <c r="S13" s="58">
        <f>R13*(1+'[2]Assumption (Advisory)'!G$45)*(1+'[2]Assumption (Advisory)'!G$48)</f>
        <v>165548037.03839996</v>
      </c>
      <c r="T13" s="58">
        <f>S13*(1+'[2]Assumption (Advisory)'!H$45)*(1+'[2]Assumption (Advisory)'!H$48)</f>
        <v>228456291.1129919</v>
      </c>
      <c r="U13" s="50"/>
    </row>
    <row r="14" spans="1:25" x14ac:dyDescent="0.35">
      <c r="B14" s="29" t="s">
        <v>68</v>
      </c>
      <c r="C14" s="73"/>
      <c r="D14" s="58">
        <f>VLOOKUP($B14,'Assumption (MedClinic-Oando)'!$B:$P,3,FALSE)</f>
        <v>1991666.666666667</v>
      </c>
      <c r="E14" s="58">
        <f t="shared" si="2"/>
        <v>1991666.666666667</v>
      </c>
      <c r="F14" s="58">
        <f t="shared" si="2"/>
        <v>1991666.666666667</v>
      </c>
      <c r="G14" s="58">
        <f t="shared" si="2"/>
        <v>1991666.666666667</v>
      </c>
      <c r="H14" s="58">
        <f t="shared" si="2"/>
        <v>1991666.666666667</v>
      </c>
      <c r="I14" s="58">
        <f t="shared" si="2"/>
        <v>1991666.666666667</v>
      </c>
      <c r="J14" s="58">
        <f t="shared" si="2"/>
        <v>1991666.666666667</v>
      </c>
      <c r="K14" s="58">
        <f t="shared" si="2"/>
        <v>1991666.666666667</v>
      </c>
      <c r="L14" s="58">
        <f t="shared" si="2"/>
        <v>1991666.666666667</v>
      </c>
      <c r="M14" s="58">
        <f t="shared" si="2"/>
        <v>1991666.666666667</v>
      </c>
      <c r="N14" s="58">
        <f t="shared" si="2"/>
        <v>1991666.666666667</v>
      </c>
      <c r="O14" s="58">
        <f t="shared" si="2"/>
        <v>1991666.666666667</v>
      </c>
      <c r="P14" s="69">
        <f t="shared" si="3"/>
        <v>23900000.000000011</v>
      </c>
      <c r="Q14" s="58">
        <f>P14*(1+'[2]Assumption (Advisory)'!E$45)*(1+'[2]Assumption (Advisory)'!E$48)</f>
        <v>32982000.000000011</v>
      </c>
      <c r="R14" s="58">
        <f>Q14*(1+'[2]Assumption (Advisory)'!F$45)*(1+'[2]Assumption (Advisory)'!F$48)</f>
        <v>45515160.000000007</v>
      </c>
      <c r="S14" s="58">
        <f>R14*(1+'[2]Assumption (Advisory)'!G$45)*(1+'[2]Assumption (Advisory)'!G$48)</f>
        <v>62810920.800000004</v>
      </c>
      <c r="T14" s="58">
        <f>S14*(1+'[2]Assumption (Advisory)'!H$45)*(1+'[2]Assumption (Advisory)'!H$48)</f>
        <v>86679070.703999996</v>
      </c>
      <c r="U14" s="50"/>
    </row>
    <row r="15" spans="1:25" x14ac:dyDescent="0.35">
      <c r="B15" s="29" t="s">
        <v>69</v>
      </c>
      <c r="C15" s="49"/>
      <c r="D15" s="58">
        <f>VLOOKUP($B15,'Assumption (MedClinic-Oando)'!$B:$P,3,FALSE)</f>
        <v>49791666.666666679</v>
      </c>
      <c r="E15" s="58">
        <f t="shared" si="2"/>
        <v>49791666.666666679</v>
      </c>
      <c r="F15" s="58">
        <f t="shared" si="2"/>
        <v>49791666.666666679</v>
      </c>
      <c r="G15" s="58">
        <f t="shared" si="2"/>
        <v>49791666.666666679</v>
      </c>
      <c r="H15" s="58">
        <f t="shared" si="2"/>
        <v>49791666.666666679</v>
      </c>
      <c r="I15" s="58">
        <f t="shared" si="2"/>
        <v>49791666.666666679</v>
      </c>
      <c r="J15" s="58">
        <f t="shared" si="2"/>
        <v>49791666.666666679</v>
      </c>
      <c r="K15" s="58">
        <f t="shared" si="2"/>
        <v>49791666.666666679</v>
      </c>
      <c r="L15" s="58">
        <f t="shared" si="2"/>
        <v>49791666.666666679</v>
      </c>
      <c r="M15" s="58">
        <f t="shared" si="2"/>
        <v>49791666.666666679</v>
      </c>
      <c r="N15" s="58">
        <f t="shared" si="2"/>
        <v>49791666.666666679</v>
      </c>
      <c r="O15" s="58">
        <f t="shared" si="2"/>
        <v>49791666.666666679</v>
      </c>
      <c r="P15" s="69">
        <f t="shared" si="3"/>
        <v>597500000.00000012</v>
      </c>
      <c r="Q15" s="58"/>
      <c r="R15" s="58">
        <f>Q15*(1+'[2]Assumption (Advisory)'!F$45)*(1+'[2]Assumption (Advisory)'!F$48)</f>
        <v>0</v>
      </c>
      <c r="S15" s="58">
        <f>R15*(1+'[2]Assumption (Advisory)'!G$45)*(1+'[2]Assumption (Advisory)'!G$48)</f>
        <v>0</v>
      </c>
      <c r="T15" s="58">
        <f>S15*(1+'[2]Assumption (Advisory)'!H$45)*(1+'[2]Assumption (Advisory)'!H$48)</f>
        <v>0</v>
      </c>
      <c r="U15" s="50"/>
    </row>
    <row r="16" spans="1:25" ht="16.5" thickBot="1" x14ac:dyDescent="0.4">
      <c r="B16" s="65"/>
      <c r="C16" s="65"/>
      <c r="D16" s="70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50"/>
    </row>
    <row r="17" spans="2:25" s="21" customFormat="1" ht="15" customHeight="1" thickBot="1" x14ac:dyDescent="0.4">
      <c r="B17" s="65" t="s">
        <v>101</v>
      </c>
      <c r="C17" s="65"/>
      <c r="D17" s="74">
        <f t="shared" ref="D17:T17" si="4">SUM(D12:D15)</f>
        <v>76949350.000000015</v>
      </c>
      <c r="E17" s="74">
        <f t="shared" si="4"/>
        <v>76949350.000000015</v>
      </c>
      <c r="F17" s="74">
        <f t="shared" si="4"/>
        <v>76949350.000000015</v>
      </c>
      <c r="G17" s="74">
        <f t="shared" si="4"/>
        <v>76949350.000000015</v>
      </c>
      <c r="H17" s="74">
        <f t="shared" si="4"/>
        <v>76949350.000000015</v>
      </c>
      <c r="I17" s="74">
        <f t="shared" si="4"/>
        <v>76949350.000000015</v>
      </c>
      <c r="J17" s="74">
        <f t="shared" si="4"/>
        <v>76949350.000000015</v>
      </c>
      <c r="K17" s="74">
        <f t="shared" si="4"/>
        <v>76949350.000000015</v>
      </c>
      <c r="L17" s="74">
        <f t="shared" si="4"/>
        <v>76949350.000000015</v>
      </c>
      <c r="M17" s="74">
        <f t="shared" si="4"/>
        <v>76949350.000000015</v>
      </c>
      <c r="N17" s="74">
        <f t="shared" si="4"/>
        <v>76949350.000000015</v>
      </c>
      <c r="O17" s="74">
        <f t="shared" si="4"/>
        <v>76949350.000000015</v>
      </c>
      <c r="P17" s="74">
        <f t="shared" si="4"/>
        <v>923392200.00000024</v>
      </c>
      <c r="Q17" s="72">
        <f t="shared" si="4"/>
        <v>119911236.00000001</v>
      </c>
      <c r="R17" s="72">
        <f t="shared" si="4"/>
        <v>165477505.68000001</v>
      </c>
      <c r="S17" s="72">
        <f t="shared" si="4"/>
        <v>228358957.83839998</v>
      </c>
      <c r="T17" s="72">
        <f t="shared" si="4"/>
        <v>315135361.81699193</v>
      </c>
      <c r="U17" s="50"/>
      <c r="V17" s="26"/>
      <c r="W17" s="26"/>
      <c r="X17" s="26"/>
      <c r="Y17" s="26"/>
    </row>
    <row r="18" spans="2:25" x14ac:dyDescent="0.35">
      <c r="D18" s="46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69"/>
      <c r="Q18" s="58"/>
      <c r="R18" s="58"/>
      <c r="S18" s="58"/>
      <c r="T18" s="58"/>
      <c r="U18" s="50"/>
    </row>
    <row r="19" spans="2:25" ht="16.5" thickBot="1" x14ac:dyDescent="0.4">
      <c r="B19" s="65" t="s">
        <v>11</v>
      </c>
      <c r="C19" s="75"/>
      <c r="D19" s="74">
        <f t="shared" ref="D19:T19" si="5">D9-D17</f>
        <v>122217316.66666667</v>
      </c>
      <c r="E19" s="74">
        <f t="shared" si="5"/>
        <v>122217316.66666667</v>
      </c>
      <c r="F19" s="74">
        <f t="shared" si="5"/>
        <v>122217316.66666667</v>
      </c>
      <c r="G19" s="74">
        <f t="shared" si="5"/>
        <v>122217316.66666667</v>
      </c>
      <c r="H19" s="74">
        <f t="shared" si="5"/>
        <v>122217316.66666667</v>
      </c>
      <c r="I19" s="74">
        <f t="shared" si="5"/>
        <v>122217316.66666667</v>
      </c>
      <c r="J19" s="74">
        <f t="shared" si="5"/>
        <v>122217316.66666667</v>
      </c>
      <c r="K19" s="74">
        <f t="shared" si="5"/>
        <v>122217316.66666667</v>
      </c>
      <c r="L19" s="74">
        <f t="shared" si="5"/>
        <v>122217316.66666667</v>
      </c>
      <c r="M19" s="74">
        <f t="shared" si="5"/>
        <v>122217316.66666667</v>
      </c>
      <c r="N19" s="74">
        <f t="shared" si="5"/>
        <v>122217316.66666667</v>
      </c>
      <c r="O19" s="74">
        <f t="shared" si="5"/>
        <v>122217316.66666667</v>
      </c>
      <c r="P19" s="76">
        <f t="shared" si="5"/>
        <v>1466607800.0000002</v>
      </c>
      <c r="Q19" s="76">
        <f t="shared" si="5"/>
        <v>3178288764.0000005</v>
      </c>
      <c r="R19" s="76">
        <f t="shared" si="5"/>
        <v>4386038494.3199997</v>
      </c>
      <c r="S19" s="76">
        <f t="shared" si="5"/>
        <v>6052733122.1616001</v>
      </c>
      <c r="T19" s="76">
        <f t="shared" si="5"/>
        <v>8352771708.5830059</v>
      </c>
      <c r="U19" s="50"/>
    </row>
    <row r="20" spans="2:25" x14ac:dyDescent="0.35"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69"/>
      <c r="Q20" s="58"/>
      <c r="R20" s="58"/>
      <c r="S20" s="58"/>
      <c r="T20" s="58"/>
      <c r="U20" s="50"/>
    </row>
    <row r="21" spans="2:25" ht="16.5" thickBot="1" x14ac:dyDescent="0.4">
      <c r="B21" s="65" t="s">
        <v>102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50"/>
    </row>
    <row r="22" spans="2:25" x14ac:dyDescent="0.4">
      <c r="B22" s="19" t="s">
        <v>71</v>
      </c>
      <c r="C22" s="49"/>
      <c r="D22" s="58">
        <f>IFERROR(VLOOKUP($B22,'Assumption (MedClinic-Oando)'!$B:$P,3,FALSE),0)</f>
        <v>39833333.333333343</v>
      </c>
      <c r="E22" s="58">
        <f>IFERROR(VLOOKUP($B22,'Assumption (MedClinic-Oando)'!$B:$P,3,FALSE),0)</f>
        <v>39833333.333333343</v>
      </c>
      <c r="F22" s="58">
        <f>IFERROR(VLOOKUP($B22,'Assumption (MedClinic-Oando)'!$B:$P,3,FALSE),0)</f>
        <v>39833333.333333343</v>
      </c>
      <c r="G22" s="58">
        <f>IFERROR(VLOOKUP($B22,'Assumption (MedClinic-Oando)'!$B:$P,3,FALSE),0)</f>
        <v>39833333.333333343</v>
      </c>
      <c r="H22" s="58">
        <f>IFERROR(VLOOKUP($B22,'Assumption (MedClinic-Oando)'!$B:$P,3,FALSE),0)</f>
        <v>39833333.333333343</v>
      </c>
      <c r="I22" s="58">
        <f>IFERROR(VLOOKUP($B22,'Assumption (MedClinic-Oando)'!$B:$P,3,FALSE),0)</f>
        <v>39833333.333333343</v>
      </c>
      <c r="J22" s="58">
        <f>IFERROR(VLOOKUP($B22,'Assumption (MedClinic-Oando)'!$B:$P,3,FALSE),0)</f>
        <v>39833333.333333343</v>
      </c>
      <c r="K22" s="58">
        <f>IFERROR(VLOOKUP($B22,'Assumption (MedClinic-Oando)'!$B:$P,3,FALSE),0)</f>
        <v>39833333.333333343</v>
      </c>
      <c r="L22" s="58">
        <f>IFERROR(VLOOKUP($B22,'Assumption (MedClinic-Oando)'!$B:$P,3,FALSE),0)</f>
        <v>39833333.333333343</v>
      </c>
      <c r="M22" s="58">
        <f>IFERROR(VLOOKUP($B22,'Assumption (MedClinic-Oando)'!$B:$P,3,FALSE),0)</f>
        <v>39833333.333333343</v>
      </c>
      <c r="N22" s="58">
        <f>IFERROR(VLOOKUP($B22,'Assumption (MedClinic-Oando)'!$B:$P,3,FALSE),0)</f>
        <v>39833333.333333343</v>
      </c>
      <c r="O22" s="58">
        <f>IFERROR(VLOOKUP($B22,'Assumption (MedClinic-Oando)'!$B:$P,3,FALSE),0)</f>
        <v>39833333.333333343</v>
      </c>
      <c r="P22" s="69">
        <f>SUM(D22:O22)</f>
        <v>478000000.00000024</v>
      </c>
      <c r="Q22" s="58">
        <f>P22*(1+'[2]Assumption (Advisory)'!E$55)</f>
        <v>525800000.0000003</v>
      </c>
      <c r="R22" s="58">
        <f>Q22*(1+'[2]Assumption (Advisory)'!F$55)</f>
        <v>578380000.00000036</v>
      </c>
      <c r="S22" s="58">
        <f>R22*(1+'[2]Assumption (Advisory)'!G$55)</f>
        <v>636218000.00000048</v>
      </c>
      <c r="T22" s="58">
        <f>S22*(1+'[2]Assumption (Advisory)'!H$55)</f>
        <v>699839800.0000006</v>
      </c>
      <c r="U22" s="50"/>
    </row>
    <row r="23" spans="2:25" x14ac:dyDescent="0.4">
      <c r="B23" s="19" t="s">
        <v>73</v>
      </c>
      <c r="D23" s="58">
        <f>IFERROR(VLOOKUP($B23,'Assumption (MedClinic-Oando)'!$B:$P,3,FALSE),0)</f>
        <v>1991666.666666667</v>
      </c>
      <c r="E23" s="58">
        <f>IFERROR(VLOOKUP($B23,'Assumption (MedClinic-Oando)'!$B:$P,3,FALSE),0)</f>
        <v>1991666.666666667</v>
      </c>
      <c r="F23" s="58">
        <f>IFERROR(VLOOKUP($B23,'Assumption (MedClinic-Oando)'!$B:$P,3,FALSE),0)</f>
        <v>1991666.666666667</v>
      </c>
      <c r="G23" s="58">
        <f>IFERROR(VLOOKUP($B23,'Assumption (MedClinic-Oando)'!$B:$P,3,FALSE),0)</f>
        <v>1991666.666666667</v>
      </c>
      <c r="H23" s="58">
        <f>IFERROR(VLOOKUP($B23,'Assumption (MedClinic-Oando)'!$B:$P,3,FALSE),0)</f>
        <v>1991666.666666667</v>
      </c>
      <c r="I23" s="58">
        <f>IFERROR(VLOOKUP($B23,'Assumption (MedClinic-Oando)'!$B:$P,3,FALSE),0)</f>
        <v>1991666.666666667</v>
      </c>
      <c r="J23" s="58">
        <f>IFERROR(VLOOKUP($B23,'Assumption (MedClinic-Oando)'!$B:$P,3,FALSE),0)</f>
        <v>1991666.666666667</v>
      </c>
      <c r="K23" s="58">
        <f>IFERROR(VLOOKUP($B23,'Assumption (MedClinic-Oando)'!$B:$P,3,FALSE),0)</f>
        <v>1991666.666666667</v>
      </c>
      <c r="L23" s="58">
        <f>IFERROR(VLOOKUP($B23,'Assumption (MedClinic-Oando)'!$B:$P,3,FALSE),0)</f>
        <v>1991666.666666667</v>
      </c>
      <c r="M23" s="58">
        <f>IFERROR(VLOOKUP($B23,'Assumption (MedClinic-Oando)'!$B:$P,3,FALSE),0)</f>
        <v>1991666.666666667</v>
      </c>
      <c r="N23" s="58">
        <f>IFERROR(VLOOKUP($B23,'Assumption (MedClinic-Oando)'!$B:$P,3,FALSE),0)</f>
        <v>1991666.666666667</v>
      </c>
      <c r="O23" s="58">
        <f>IFERROR(VLOOKUP($B23,'Assumption (MedClinic-Oando)'!$B:$P,3,FALSE),0)</f>
        <v>1991666.666666667</v>
      </c>
      <c r="P23" s="69">
        <f t="shared" ref="P23:P37" si="6">SUM(D23:O23)</f>
        <v>23900000.000000011</v>
      </c>
      <c r="Q23" s="58">
        <f>P23*(1+'[2]Assumption (Advisory)'!E$46)</f>
        <v>27485000.000000011</v>
      </c>
      <c r="R23" s="58">
        <f>Q23*(1+'[2]Assumption (Advisory)'!F$46)</f>
        <v>31607750.000000011</v>
      </c>
      <c r="S23" s="58">
        <f>R23*(1+'[2]Assumption (Advisory)'!G$46)</f>
        <v>36348912.500000007</v>
      </c>
      <c r="T23" s="58">
        <f>S23*(1+'[2]Assumption (Advisory)'!H$46)</f>
        <v>41801249.375000007</v>
      </c>
      <c r="U23" s="50"/>
    </row>
    <row r="24" spans="2:25" x14ac:dyDescent="0.4">
      <c r="B24" s="19" t="s">
        <v>77</v>
      </c>
      <c r="D24" s="58">
        <f>IFERROR(VLOOKUP($B24,'Assumption (MedClinic-Oando)'!$B:$P,3,FALSE),0)</f>
        <v>19916.666666666672</v>
      </c>
      <c r="E24" s="58">
        <f>IFERROR(VLOOKUP($B24,'Assumption (MedClinic-Oando)'!$B:$P,3,FALSE),0)</f>
        <v>19916.666666666672</v>
      </c>
      <c r="F24" s="58">
        <f>IFERROR(VLOOKUP($B24,'Assumption (MedClinic-Oando)'!$B:$P,3,FALSE),0)</f>
        <v>19916.666666666672</v>
      </c>
      <c r="G24" s="58">
        <f>IFERROR(VLOOKUP($B24,'Assumption (MedClinic-Oando)'!$B:$P,3,FALSE),0)</f>
        <v>19916.666666666672</v>
      </c>
      <c r="H24" s="58">
        <f>IFERROR(VLOOKUP($B24,'Assumption (MedClinic-Oando)'!$B:$P,3,FALSE),0)</f>
        <v>19916.666666666672</v>
      </c>
      <c r="I24" s="58">
        <f>IFERROR(VLOOKUP($B24,'Assumption (MedClinic-Oando)'!$B:$P,3,FALSE),0)</f>
        <v>19916.666666666672</v>
      </c>
      <c r="J24" s="58">
        <f>IFERROR(VLOOKUP($B24,'Assumption (MedClinic-Oando)'!$B:$P,3,FALSE),0)</f>
        <v>19916.666666666672</v>
      </c>
      <c r="K24" s="58">
        <f>IFERROR(VLOOKUP($B24,'Assumption (MedClinic-Oando)'!$B:$P,3,FALSE),0)</f>
        <v>19916.666666666672</v>
      </c>
      <c r="L24" s="58">
        <f>IFERROR(VLOOKUP($B24,'Assumption (MedClinic-Oando)'!$B:$P,3,FALSE),0)</f>
        <v>19916.666666666672</v>
      </c>
      <c r="M24" s="58">
        <f>IFERROR(VLOOKUP($B24,'Assumption (MedClinic-Oando)'!$B:$P,3,FALSE),0)</f>
        <v>19916.666666666672</v>
      </c>
      <c r="N24" s="58">
        <f>IFERROR(VLOOKUP($B24,'Assumption (MedClinic-Oando)'!$B:$P,3,FALSE),0)</f>
        <v>19916.666666666672</v>
      </c>
      <c r="O24" s="58">
        <f>IFERROR(VLOOKUP($B24,'Assumption (MedClinic-Oando)'!$B:$P,3,FALSE),0)</f>
        <v>19916.666666666672</v>
      </c>
      <c r="P24" s="69">
        <f t="shared" si="6"/>
        <v>239000.00000000012</v>
      </c>
      <c r="Q24" s="58">
        <f>P24*(1+'[2]Assumption (Advisory)'!E$46)</f>
        <v>274850.00000000012</v>
      </c>
      <c r="R24" s="58">
        <f>Q24*(1+'[2]Assumption (Advisory)'!F$46)</f>
        <v>316077.50000000012</v>
      </c>
      <c r="S24" s="58">
        <f>R24*(1+'[2]Assumption (Advisory)'!G$46)</f>
        <v>363489.12500000012</v>
      </c>
      <c r="T24" s="58">
        <f>S24*(1+'[2]Assumption (Advisory)'!H$46)</f>
        <v>418012.49375000008</v>
      </c>
      <c r="U24" s="50"/>
    </row>
    <row r="25" spans="2:25" x14ac:dyDescent="0.4">
      <c r="B25" s="19" t="s">
        <v>80</v>
      </c>
      <c r="D25" s="58">
        <f>IFERROR(VLOOKUP($B25,'Assumption (MedClinic-Oando)'!$B:$P,3,FALSE),0)</f>
        <v>200000</v>
      </c>
      <c r="E25" s="58">
        <f>IFERROR(VLOOKUP($B25,'Assumption (MedClinic-Oando)'!$B:$P,3,FALSE),0)</f>
        <v>200000</v>
      </c>
      <c r="F25" s="58">
        <f>IFERROR(VLOOKUP($B25,'Assumption (MedClinic-Oando)'!$B:$P,3,FALSE),0)</f>
        <v>200000</v>
      </c>
      <c r="G25" s="58">
        <f>IFERROR(VLOOKUP($B25,'Assumption (MedClinic-Oando)'!$B:$P,3,FALSE),0)</f>
        <v>200000</v>
      </c>
      <c r="H25" s="58">
        <f>IFERROR(VLOOKUP($B25,'Assumption (MedClinic-Oando)'!$B:$P,3,FALSE),0)</f>
        <v>200000</v>
      </c>
      <c r="I25" s="58">
        <f>IFERROR(VLOOKUP($B25,'Assumption (MedClinic-Oando)'!$B:$P,3,FALSE),0)</f>
        <v>200000</v>
      </c>
      <c r="J25" s="58">
        <f>IFERROR(VLOOKUP($B25,'Assumption (MedClinic-Oando)'!$B:$P,3,FALSE),0)</f>
        <v>200000</v>
      </c>
      <c r="K25" s="58">
        <f>IFERROR(VLOOKUP($B25,'Assumption (MedClinic-Oando)'!$B:$P,3,FALSE),0)</f>
        <v>200000</v>
      </c>
      <c r="L25" s="58">
        <f>IFERROR(VLOOKUP($B25,'Assumption (MedClinic-Oando)'!$B:$P,3,FALSE),0)</f>
        <v>200000</v>
      </c>
      <c r="M25" s="58">
        <f>IFERROR(VLOOKUP($B25,'Assumption (MedClinic-Oando)'!$B:$P,3,FALSE),0)</f>
        <v>200000</v>
      </c>
      <c r="N25" s="58">
        <f>IFERROR(VLOOKUP($B25,'Assumption (MedClinic-Oando)'!$B:$P,3,FALSE),0)</f>
        <v>200000</v>
      </c>
      <c r="O25" s="58">
        <f>IFERROR(VLOOKUP($B25,'Assumption (MedClinic-Oando)'!$B:$P,3,FALSE),0)</f>
        <v>200000</v>
      </c>
      <c r="P25" s="69">
        <f t="shared" si="6"/>
        <v>2400000</v>
      </c>
      <c r="Q25" s="58">
        <f>P25*(1+'[2]Assumption (Advisory)'!E$46)</f>
        <v>2760000</v>
      </c>
      <c r="R25" s="58">
        <f>Q25*(1+'[2]Assumption (Advisory)'!F$46)</f>
        <v>3173999.9999999995</v>
      </c>
      <c r="S25" s="58">
        <f>R25*(1+'[2]Assumption (Advisory)'!G$46)</f>
        <v>3650099.9999999991</v>
      </c>
      <c r="T25" s="58">
        <f>S25*(1+'[2]Assumption (Advisory)'!H$46)</f>
        <v>4197614.9999999991</v>
      </c>
      <c r="U25" s="50"/>
    </row>
    <row r="26" spans="2:25" x14ac:dyDescent="0.4">
      <c r="B26" s="19" t="s">
        <v>81</v>
      </c>
      <c r="D26" s="58">
        <f>IFERROR(VLOOKUP($B26,'Assumption (MedClinic-Oando)'!$B:$P,3,FALSE),0)</f>
        <v>0</v>
      </c>
      <c r="E26" s="58">
        <f>IFERROR(VLOOKUP($B26,'Assumption (MedClinic-Oando)'!$B:$P,3,FALSE),0)</f>
        <v>0</v>
      </c>
      <c r="F26" s="58">
        <f>IFERROR(VLOOKUP($B26,'Assumption (MedClinic-Oando)'!$B:$P,3,FALSE),0)</f>
        <v>0</v>
      </c>
      <c r="G26" s="58">
        <f>IFERROR(VLOOKUP($B26,'Assumption (MedClinic-Oando)'!$B:$P,3,FALSE),0)</f>
        <v>0</v>
      </c>
      <c r="H26" s="58">
        <f>IFERROR(VLOOKUP($B26,'Assumption (MedClinic-Oando)'!$B:$P,3,FALSE),0)</f>
        <v>0</v>
      </c>
      <c r="I26" s="58">
        <f>IFERROR(VLOOKUP($B26,'Assumption (MedClinic-Oando)'!$B:$P,3,FALSE),0)</f>
        <v>0</v>
      </c>
      <c r="J26" s="58">
        <f>IFERROR(VLOOKUP($B26,'Assumption (MedClinic-Oando)'!$B:$P,3,FALSE),0)</f>
        <v>0</v>
      </c>
      <c r="K26" s="58">
        <f>IFERROR(VLOOKUP($B26,'Assumption (MedClinic-Oando)'!$B:$P,3,FALSE),0)</f>
        <v>0</v>
      </c>
      <c r="L26" s="58">
        <f>IFERROR(VLOOKUP($B26,'Assumption (MedClinic-Oando)'!$B:$P,3,FALSE),0)</f>
        <v>0</v>
      </c>
      <c r="M26" s="58">
        <f>IFERROR(VLOOKUP($B26,'Assumption (MedClinic-Oando)'!$B:$P,3,FALSE),0)</f>
        <v>0</v>
      </c>
      <c r="N26" s="58">
        <f>IFERROR(VLOOKUP($B26,'Assumption (MedClinic-Oando)'!$B:$P,3,FALSE),0)</f>
        <v>0</v>
      </c>
      <c r="O26" s="58">
        <f>IFERROR(VLOOKUP($B26,'Assumption (MedClinic-Oando)'!$B:$P,3,FALSE),0)</f>
        <v>0</v>
      </c>
      <c r="P26" s="69">
        <f t="shared" si="6"/>
        <v>0</v>
      </c>
      <c r="Q26" s="58">
        <f>P26*(1+'[2]Assumption (Advisory)'!E$46)</f>
        <v>0</v>
      </c>
      <c r="R26" s="58">
        <f>Q26*(1+'[2]Assumption (Advisory)'!F$46)</f>
        <v>0</v>
      </c>
      <c r="S26" s="58">
        <f>R26*(1+'[2]Assumption (Advisory)'!G$46)</f>
        <v>0</v>
      </c>
      <c r="T26" s="58">
        <f>S26*(1+'[2]Assumption (Advisory)'!H$46)</f>
        <v>0</v>
      </c>
      <c r="U26" s="50"/>
    </row>
    <row r="27" spans="2:25" x14ac:dyDescent="0.4">
      <c r="B27" s="19" t="s">
        <v>82</v>
      </c>
      <c r="D27" s="58">
        <f>IFERROR(VLOOKUP($B27,'Assumption (MedClinic-Oando)'!$B:$P,3,FALSE),0)</f>
        <v>350000</v>
      </c>
      <c r="E27" s="58">
        <f>IFERROR(VLOOKUP($B27,'Assumption (MedClinic-Oando)'!$B:$P,3,FALSE),0)</f>
        <v>350000</v>
      </c>
      <c r="F27" s="58">
        <f>IFERROR(VLOOKUP($B27,'Assumption (MedClinic-Oando)'!$B:$P,3,FALSE),0)</f>
        <v>350000</v>
      </c>
      <c r="G27" s="58">
        <f>IFERROR(VLOOKUP($B27,'Assumption (MedClinic-Oando)'!$B:$P,3,FALSE),0)</f>
        <v>350000</v>
      </c>
      <c r="H27" s="58">
        <f>IFERROR(VLOOKUP($B27,'Assumption (MedClinic-Oando)'!$B:$P,3,FALSE),0)</f>
        <v>350000</v>
      </c>
      <c r="I27" s="58">
        <f>IFERROR(VLOOKUP($B27,'Assumption (MedClinic-Oando)'!$B:$P,3,FALSE),0)</f>
        <v>350000</v>
      </c>
      <c r="J27" s="58">
        <f>IFERROR(VLOOKUP($B27,'Assumption (MedClinic-Oando)'!$B:$P,3,FALSE),0)</f>
        <v>350000</v>
      </c>
      <c r="K27" s="58">
        <f>IFERROR(VLOOKUP($B27,'Assumption (MedClinic-Oando)'!$B:$P,3,FALSE),0)</f>
        <v>350000</v>
      </c>
      <c r="L27" s="58">
        <f>IFERROR(VLOOKUP($B27,'Assumption (MedClinic-Oando)'!$B:$P,3,FALSE),0)</f>
        <v>350000</v>
      </c>
      <c r="M27" s="58">
        <f>IFERROR(VLOOKUP($B27,'Assumption (MedClinic-Oando)'!$B:$P,3,FALSE),0)</f>
        <v>350000</v>
      </c>
      <c r="N27" s="58">
        <f>IFERROR(VLOOKUP($B27,'Assumption (MedClinic-Oando)'!$B:$P,3,FALSE),0)</f>
        <v>350000</v>
      </c>
      <c r="O27" s="58">
        <f>IFERROR(VLOOKUP($B27,'Assumption (MedClinic-Oando)'!$B:$P,3,FALSE),0)</f>
        <v>350000</v>
      </c>
      <c r="P27" s="69">
        <f t="shared" si="6"/>
        <v>4200000</v>
      </c>
      <c r="Q27" s="58">
        <f>P27*(1+'[2]Assumption (Advisory)'!E$46)</f>
        <v>4830000</v>
      </c>
      <c r="R27" s="58">
        <f>Q27*(1+'[2]Assumption (Advisory)'!F$46)</f>
        <v>5554500</v>
      </c>
      <c r="S27" s="58">
        <f>R27*(1+'[2]Assumption (Advisory)'!G$46)</f>
        <v>6387674.9999999991</v>
      </c>
      <c r="T27" s="58">
        <f>S27*(1+'[2]Assumption (Advisory)'!H$46)</f>
        <v>7345826.2499999981</v>
      </c>
      <c r="U27" s="50"/>
    </row>
    <row r="28" spans="2:25" x14ac:dyDescent="0.4">
      <c r="B28" s="19" t="s">
        <v>83</v>
      </c>
      <c r="D28" s="58">
        <f>IFERROR(VLOOKUP($B28,'Assumption (MedClinic-Oando)'!$B:$P,3,FALSE),0)</f>
        <v>0</v>
      </c>
      <c r="E28" s="58">
        <f>IFERROR(VLOOKUP($B28,'Assumption (MedClinic-Oando)'!$B:$P,3,FALSE),0)</f>
        <v>0</v>
      </c>
      <c r="F28" s="58">
        <f>IFERROR(VLOOKUP($B28,'Assumption (MedClinic-Oando)'!$B:$P,3,FALSE),0)</f>
        <v>0</v>
      </c>
      <c r="G28" s="58">
        <f>IFERROR(VLOOKUP($B28,'Assumption (MedClinic-Oando)'!$B:$P,3,FALSE),0)</f>
        <v>0</v>
      </c>
      <c r="H28" s="58">
        <f>IFERROR(VLOOKUP($B28,'Assumption (MedClinic-Oando)'!$B:$P,3,FALSE),0)</f>
        <v>0</v>
      </c>
      <c r="I28" s="58">
        <f>IFERROR(VLOOKUP($B28,'Assumption (MedClinic-Oando)'!$B:$P,3,FALSE),0)</f>
        <v>0</v>
      </c>
      <c r="J28" s="58">
        <f>IFERROR(VLOOKUP($B28,'Assumption (MedClinic-Oando)'!$B:$P,3,FALSE),0)</f>
        <v>0</v>
      </c>
      <c r="K28" s="58">
        <f>IFERROR(VLOOKUP($B28,'Assumption (MedClinic-Oando)'!$B:$P,3,FALSE),0)</f>
        <v>0</v>
      </c>
      <c r="L28" s="58">
        <f>IFERROR(VLOOKUP($B28,'Assumption (MedClinic-Oando)'!$B:$P,3,FALSE),0)</f>
        <v>0</v>
      </c>
      <c r="M28" s="58">
        <f>IFERROR(VLOOKUP($B28,'Assumption (MedClinic-Oando)'!$B:$P,3,FALSE),0)</f>
        <v>0</v>
      </c>
      <c r="N28" s="58">
        <f>IFERROR(VLOOKUP($B28,'Assumption (MedClinic-Oando)'!$B:$P,3,FALSE),0)</f>
        <v>0</v>
      </c>
      <c r="O28" s="58">
        <f>IFERROR(VLOOKUP($B28,'Assumption (MedClinic-Oando)'!$B:$P,3,FALSE),0)</f>
        <v>0</v>
      </c>
      <c r="P28" s="69">
        <f t="shared" si="6"/>
        <v>0</v>
      </c>
      <c r="Q28" s="58">
        <f>P28*(1+'[2]Assumption (Advisory)'!E$46)</f>
        <v>0</v>
      </c>
      <c r="R28" s="58">
        <f>Q28*(1+'[2]Assumption (Advisory)'!F$46)</f>
        <v>0</v>
      </c>
      <c r="S28" s="58">
        <f>R28*(1+'[2]Assumption (Advisory)'!G$46)</f>
        <v>0</v>
      </c>
      <c r="T28" s="58">
        <f>S28*(1+'[2]Assumption (Advisory)'!H$46)</f>
        <v>0</v>
      </c>
      <c r="U28" s="50"/>
    </row>
    <row r="29" spans="2:25" x14ac:dyDescent="0.4">
      <c r="B29" s="19" t="s">
        <v>85</v>
      </c>
      <c r="D29" s="58">
        <f>IFERROR(VLOOKUP($B29,'Assumption (MedClinic-Oando)'!$B:$P,3,FALSE),0)</f>
        <v>0</v>
      </c>
      <c r="E29" s="58">
        <f>IFERROR(VLOOKUP($B29,'Assumption (MedClinic-Oando)'!$B:$P,3,FALSE),0)</f>
        <v>0</v>
      </c>
      <c r="F29" s="58">
        <f>IFERROR(VLOOKUP($B29,'Assumption (MedClinic-Oando)'!$B:$P,3,FALSE),0)</f>
        <v>0</v>
      </c>
      <c r="G29" s="58">
        <f>IFERROR(VLOOKUP($B29,'Assumption (MedClinic-Oando)'!$B:$P,3,FALSE),0)</f>
        <v>0</v>
      </c>
      <c r="H29" s="58">
        <f>IFERROR(VLOOKUP($B29,'Assumption (MedClinic-Oando)'!$B:$P,3,FALSE),0)</f>
        <v>0</v>
      </c>
      <c r="I29" s="58">
        <f>IFERROR(VLOOKUP($B29,'Assumption (MedClinic-Oando)'!$B:$P,3,FALSE),0)</f>
        <v>0</v>
      </c>
      <c r="J29" s="58">
        <f>IFERROR(VLOOKUP($B29,'Assumption (MedClinic-Oando)'!$B:$P,3,FALSE),0)</f>
        <v>0</v>
      </c>
      <c r="K29" s="58">
        <f>IFERROR(VLOOKUP($B29,'Assumption (MedClinic-Oando)'!$B:$P,3,FALSE),0)</f>
        <v>0</v>
      </c>
      <c r="L29" s="58">
        <f>IFERROR(VLOOKUP($B29,'Assumption (MedClinic-Oando)'!$B:$P,3,FALSE),0)</f>
        <v>0</v>
      </c>
      <c r="M29" s="58">
        <f>IFERROR(VLOOKUP($B29,'Assumption (MedClinic-Oando)'!$B:$P,3,FALSE),0)</f>
        <v>0</v>
      </c>
      <c r="N29" s="58">
        <f>IFERROR(VLOOKUP($B29,'Assumption (MedClinic-Oando)'!$B:$P,3,FALSE),0)</f>
        <v>0</v>
      </c>
      <c r="O29" s="58">
        <f>IFERROR(VLOOKUP($B29,'Assumption (MedClinic-Oando)'!$B:$P,3,FALSE),0)</f>
        <v>0</v>
      </c>
      <c r="P29" s="69">
        <f t="shared" si="6"/>
        <v>0</v>
      </c>
      <c r="Q29" s="58">
        <f>P29*(1+'[2]Assumption (Advisory)'!E$46)</f>
        <v>0</v>
      </c>
      <c r="R29" s="58">
        <f>Q29*(1+'[2]Assumption (Advisory)'!F$46)</f>
        <v>0</v>
      </c>
      <c r="S29" s="58">
        <f>R29*(1+'[2]Assumption (Advisory)'!G$46)</f>
        <v>0</v>
      </c>
      <c r="T29" s="58">
        <f>S29*(1+'[2]Assumption (Advisory)'!H$46)</f>
        <v>0</v>
      </c>
      <c r="U29" s="50"/>
    </row>
    <row r="30" spans="2:25" x14ac:dyDescent="0.4">
      <c r="B30" s="19" t="s">
        <v>87</v>
      </c>
      <c r="D30" s="58">
        <f>IFERROR(VLOOKUP($B30,'Assumption (MedClinic-Oando)'!$B:$P,3,FALSE),0)</f>
        <v>0</v>
      </c>
      <c r="E30" s="58">
        <f>IFERROR(VLOOKUP($B30,'Assumption (MedClinic-Oando)'!$B:$P,3,FALSE),0)</f>
        <v>0</v>
      </c>
      <c r="F30" s="58">
        <f>IFERROR(VLOOKUP($B30,'Assumption (MedClinic-Oando)'!$B:$P,3,FALSE),0)</f>
        <v>0</v>
      </c>
      <c r="G30" s="58">
        <f>IFERROR(VLOOKUP($B30,'Assumption (MedClinic-Oando)'!$B:$P,3,FALSE),0)</f>
        <v>0</v>
      </c>
      <c r="H30" s="58">
        <f>IFERROR(VLOOKUP($B30,'Assumption (MedClinic-Oando)'!$B:$P,3,FALSE),0)</f>
        <v>0</v>
      </c>
      <c r="I30" s="58">
        <f>IFERROR(VLOOKUP($B30,'Assumption (MedClinic-Oando)'!$B:$P,3,FALSE),0)</f>
        <v>0</v>
      </c>
      <c r="J30" s="58">
        <f>IFERROR(VLOOKUP($B30,'Assumption (MedClinic-Oando)'!$B:$P,3,FALSE),0)</f>
        <v>0</v>
      </c>
      <c r="K30" s="58">
        <f>IFERROR(VLOOKUP($B30,'Assumption (MedClinic-Oando)'!$B:$P,3,FALSE),0)</f>
        <v>0</v>
      </c>
      <c r="L30" s="58">
        <f>IFERROR(VLOOKUP($B30,'Assumption (MedClinic-Oando)'!$B:$P,3,FALSE),0)</f>
        <v>0</v>
      </c>
      <c r="M30" s="58">
        <f>IFERROR(VLOOKUP($B30,'Assumption (MedClinic-Oando)'!$B:$P,3,FALSE),0)</f>
        <v>0</v>
      </c>
      <c r="N30" s="58">
        <f>IFERROR(VLOOKUP($B30,'Assumption (MedClinic-Oando)'!$B:$P,3,FALSE),0)</f>
        <v>0</v>
      </c>
      <c r="O30" s="58">
        <f>IFERROR(VLOOKUP($B30,'Assumption (MedClinic-Oando)'!$B:$P,3,FALSE),0)</f>
        <v>0</v>
      </c>
      <c r="P30" s="69">
        <f t="shared" si="6"/>
        <v>0</v>
      </c>
      <c r="Q30" s="58">
        <f>P30*(1+'[2]Assumption (Advisory)'!E$46)</f>
        <v>0</v>
      </c>
      <c r="R30" s="58">
        <f>Q30*(1+'[2]Assumption (Advisory)'!F$46)</f>
        <v>0</v>
      </c>
      <c r="S30" s="58">
        <f>R30*(1+'[2]Assumption (Advisory)'!G$46)</f>
        <v>0</v>
      </c>
      <c r="T30" s="58">
        <f>S30*(1+'[2]Assumption (Advisory)'!H$46)</f>
        <v>0</v>
      </c>
      <c r="U30" s="50"/>
    </row>
    <row r="31" spans="2:25" x14ac:dyDescent="0.4">
      <c r="B31" s="19" t="s">
        <v>89</v>
      </c>
      <c r="D31" s="58">
        <f>IFERROR(VLOOKUP($B31,'Assumption (MedClinic-Oando)'!$B:$P,3,FALSE),0)</f>
        <v>0</v>
      </c>
      <c r="E31" s="58">
        <f>IFERROR(VLOOKUP($B31,'Assumption (MedClinic-Oando)'!$B:$P,3,FALSE),0)</f>
        <v>0</v>
      </c>
      <c r="F31" s="58">
        <f>IFERROR(VLOOKUP($B31,'Assumption (MedClinic-Oando)'!$B:$P,3,FALSE),0)</f>
        <v>0</v>
      </c>
      <c r="G31" s="58">
        <f>IFERROR(VLOOKUP($B31,'Assumption (MedClinic-Oando)'!$B:$P,3,FALSE),0)</f>
        <v>0</v>
      </c>
      <c r="H31" s="58">
        <f>IFERROR(VLOOKUP($B31,'Assumption (MedClinic-Oando)'!$B:$P,3,FALSE),0)</f>
        <v>0</v>
      </c>
      <c r="I31" s="58">
        <f>IFERROR(VLOOKUP($B31,'Assumption (MedClinic-Oando)'!$B:$P,3,FALSE),0)</f>
        <v>0</v>
      </c>
      <c r="J31" s="58">
        <f>IFERROR(VLOOKUP($B31,'Assumption (MedClinic-Oando)'!$B:$P,3,FALSE),0)</f>
        <v>0</v>
      </c>
      <c r="K31" s="58">
        <f>IFERROR(VLOOKUP($B31,'Assumption (MedClinic-Oando)'!$B:$P,3,FALSE),0)</f>
        <v>0</v>
      </c>
      <c r="L31" s="58">
        <f>IFERROR(VLOOKUP($B31,'Assumption (MedClinic-Oando)'!$B:$P,3,FALSE),0)</f>
        <v>0</v>
      </c>
      <c r="M31" s="58">
        <f>IFERROR(VLOOKUP($B31,'Assumption (MedClinic-Oando)'!$B:$P,3,FALSE),0)</f>
        <v>0</v>
      </c>
      <c r="N31" s="58">
        <f>IFERROR(VLOOKUP($B31,'Assumption (MedClinic-Oando)'!$B:$P,3,FALSE),0)</f>
        <v>0</v>
      </c>
      <c r="O31" s="58">
        <f>IFERROR(VLOOKUP($B31,'Assumption (MedClinic-Oando)'!$B:$P,3,FALSE),0)</f>
        <v>0</v>
      </c>
      <c r="P31" s="69">
        <f t="shared" si="6"/>
        <v>0</v>
      </c>
      <c r="Q31" s="58">
        <f>P31*(1+'[2]Assumption (Advisory)'!E$46)</f>
        <v>0</v>
      </c>
      <c r="R31" s="58">
        <f>Q31*(1+'[2]Assumption (Advisory)'!F$46)</f>
        <v>0</v>
      </c>
      <c r="S31" s="58">
        <f>R31*(1+'[2]Assumption (Advisory)'!G$46)</f>
        <v>0</v>
      </c>
      <c r="T31" s="58">
        <f>S31*(1+'[2]Assumption (Advisory)'!H$46)</f>
        <v>0</v>
      </c>
      <c r="U31" s="50"/>
    </row>
    <row r="32" spans="2:25" x14ac:dyDescent="0.4">
      <c r="B32" s="19" t="s">
        <v>91</v>
      </c>
      <c r="D32" s="58">
        <f>IFERROR(VLOOKUP($B32,'Assumption (MedClinic-Oando)'!$B:$P,3,FALSE),0)</f>
        <v>400000</v>
      </c>
      <c r="E32" s="58">
        <f>IFERROR(VLOOKUP($B32,'Assumption (MedClinic-Oando)'!$B:$P,3,FALSE),0)</f>
        <v>400000</v>
      </c>
      <c r="F32" s="58">
        <f>IFERROR(VLOOKUP($B32,'Assumption (MedClinic-Oando)'!$B:$P,3,FALSE),0)</f>
        <v>400000</v>
      </c>
      <c r="G32" s="58">
        <f>IFERROR(VLOOKUP($B32,'Assumption (MedClinic-Oando)'!$B:$P,3,FALSE),0)</f>
        <v>400000</v>
      </c>
      <c r="H32" s="58">
        <f>IFERROR(VLOOKUP($B32,'Assumption (MedClinic-Oando)'!$B:$P,3,FALSE),0)</f>
        <v>400000</v>
      </c>
      <c r="I32" s="58">
        <f>IFERROR(VLOOKUP($B32,'Assumption (MedClinic-Oando)'!$B:$P,3,FALSE),0)</f>
        <v>400000</v>
      </c>
      <c r="J32" s="58">
        <f>IFERROR(VLOOKUP($B32,'Assumption (MedClinic-Oando)'!$B:$P,3,FALSE),0)</f>
        <v>400000</v>
      </c>
      <c r="K32" s="58">
        <f>IFERROR(VLOOKUP($B32,'Assumption (MedClinic-Oando)'!$B:$P,3,FALSE),0)</f>
        <v>400000</v>
      </c>
      <c r="L32" s="58">
        <f>IFERROR(VLOOKUP($B32,'Assumption (MedClinic-Oando)'!$B:$P,3,FALSE),0)</f>
        <v>400000</v>
      </c>
      <c r="M32" s="58">
        <f>IFERROR(VLOOKUP($B32,'Assumption (MedClinic-Oando)'!$B:$P,3,FALSE),0)</f>
        <v>400000</v>
      </c>
      <c r="N32" s="58">
        <f>IFERROR(VLOOKUP($B32,'Assumption (MedClinic-Oando)'!$B:$P,3,FALSE),0)</f>
        <v>400000</v>
      </c>
      <c r="O32" s="58">
        <f>IFERROR(VLOOKUP($B32,'Assumption (MedClinic-Oando)'!$B:$P,3,FALSE),0)</f>
        <v>400000</v>
      </c>
      <c r="P32" s="69">
        <f t="shared" si="6"/>
        <v>4800000</v>
      </c>
      <c r="Q32" s="58">
        <f>P32*(1+'[2]Assumption (Advisory)'!E$46)</f>
        <v>5520000</v>
      </c>
      <c r="R32" s="58">
        <f>Q32*(1+'[2]Assumption (Advisory)'!F$46)</f>
        <v>6347999.9999999991</v>
      </c>
      <c r="S32" s="58">
        <f>R32*(1+'[2]Assumption (Advisory)'!G$46)</f>
        <v>7300199.9999999981</v>
      </c>
      <c r="T32" s="58">
        <f>S32*(1+'[2]Assumption (Advisory)'!H$46)</f>
        <v>8395229.9999999981</v>
      </c>
      <c r="U32" s="50"/>
    </row>
    <row r="33" spans="2:21" x14ac:dyDescent="0.4">
      <c r="B33" s="19" t="s">
        <v>93</v>
      </c>
      <c r="D33" s="58">
        <f>IFERROR(VLOOKUP($B33,'Assumption (MedClinic-Oando)'!$B:$P,3,FALSE),0)</f>
        <v>1200000</v>
      </c>
      <c r="E33" s="58">
        <f>IFERROR(VLOOKUP($B33,'Assumption (MedClinic-Oando)'!$B:$P,3,FALSE),0)</f>
        <v>1200000</v>
      </c>
      <c r="F33" s="58">
        <f>IFERROR(VLOOKUP($B33,'Assumption (MedClinic-Oando)'!$B:$P,3,FALSE),0)</f>
        <v>1200000</v>
      </c>
      <c r="G33" s="58">
        <f>IFERROR(VLOOKUP($B33,'Assumption (MedClinic-Oando)'!$B:$P,3,FALSE),0)</f>
        <v>1200000</v>
      </c>
      <c r="H33" s="58">
        <f>IFERROR(VLOOKUP($B33,'Assumption (MedClinic-Oando)'!$B:$P,3,FALSE),0)</f>
        <v>1200000</v>
      </c>
      <c r="I33" s="58">
        <f>IFERROR(VLOOKUP($B33,'Assumption (MedClinic-Oando)'!$B:$P,3,FALSE),0)</f>
        <v>1200000</v>
      </c>
      <c r="J33" s="58">
        <f>IFERROR(VLOOKUP($B33,'Assumption (MedClinic-Oando)'!$B:$P,3,FALSE),0)</f>
        <v>1200000</v>
      </c>
      <c r="K33" s="58">
        <f>IFERROR(VLOOKUP($B33,'Assumption (MedClinic-Oando)'!$B:$P,3,FALSE),0)</f>
        <v>1200000</v>
      </c>
      <c r="L33" s="58">
        <f>IFERROR(VLOOKUP($B33,'Assumption (MedClinic-Oando)'!$B:$P,3,FALSE),0)</f>
        <v>1200000</v>
      </c>
      <c r="M33" s="58">
        <f>IFERROR(VLOOKUP($B33,'Assumption (MedClinic-Oando)'!$B:$P,3,FALSE),0)</f>
        <v>1200000</v>
      </c>
      <c r="N33" s="58">
        <f>IFERROR(VLOOKUP($B33,'Assumption (MedClinic-Oando)'!$B:$P,3,FALSE),0)</f>
        <v>1200000</v>
      </c>
      <c r="O33" s="58">
        <f>IFERROR(VLOOKUP($B33,'Assumption (MedClinic-Oando)'!$B:$P,3,FALSE),0)</f>
        <v>1200000</v>
      </c>
      <c r="P33" s="69">
        <f t="shared" si="6"/>
        <v>14400000</v>
      </c>
      <c r="Q33" s="58">
        <f>P33*(1+'[2]Assumption (Advisory)'!E$46)</f>
        <v>16559999.999999998</v>
      </c>
      <c r="R33" s="58">
        <f>Q33*(1+'[2]Assumption (Advisory)'!F$46)</f>
        <v>19043999.999999996</v>
      </c>
      <c r="S33" s="58">
        <f>R33*(1+'[2]Assumption (Advisory)'!G$46)</f>
        <v>21900599.999999993</v>
      </c>
      <c r="T33" s="58">
        <f>S33*(1+'[2]Assumption (Advisory)'!H$46)</f>
        <v>25185689.999999989</v>
      </c>
      <c r="U33" s="50"/>
    </row>
    <row r="34" spans="2:21" x14ac:dyDescent="0.35">
      <c r="B34" s="29" t="s">
        <v>94</v>
      </c>
      <c r="D34" s="58">
        <f>IFERROR(VLOOKUP($B34,'Assumption (MedClinic-Oando)'!$B:$P,3,FALSE),0)</f>
        <v>1500000</v>
      </c>
      <c r="E34" s="58">
        <f>IFERROR(VLOOKUP($B34,'Assumption (MedClinic-Oando)'!$B:$P,3,FALSE),0)</f>
        <v>1500000</v>
      </c>
      <c r="F34" s="58">
        <f>IFERROR(VLOOKUP($B34,'Assumption (MedClinic-Oando)'!$B:$P,3,FALSE),0)</f>
        <v>1500000</v>
      </c>
      <c r="G34" s="58">
        <f>IFERROR(VLOOKUP($B34,'Assumption (MedClinic-Oando)'!$B:$P,3,FALSE),0)</f>
        <v>1500000</v>
      </c>
      <c r="H34" s="58">
        <f>IFERROR(VLOOKUP($B34,'Assumption (MedClinic-Oando)'!$B:$P,3,FALSE),0)</f>
        <v>1500000</v>
      </c>
      <c r="I34" s="58">
        <f>IFERROR(VLOOKUP($B34,'Assumption (MedClinic-Oando)'!$B:$P,3,FALSE),0)</f>
        <v>1500000</v>
      </c>
      <c r="J34" s="58">
        <f>IFERROR(VLOOKUP($B34,'Assumption (MedClinic-Oando)'!$B:$P,3,FALSE),0)</f>
        <v>1500000</v>
      </c>
      <c r="K34" s="58">
        <f>IFERROR(VLOOKUP($B34,'Assumption (MedClinic-Oando)'!$B:$P,3,FALSE),0)</f>
        <v>1500000</v>
      </c>
      <c r="L34" s="58">
        <f>IFERROR(VLOOKUP($B34,'Assumption (MedClinic-Oando)'!$B:$P,3,FALSE),0)</f>
        <v>1500000</v>
      </c>
      <c r="M34" s="58">
        <f>IFERROR(VLOOKUP($B34,'Assumption (MedClinic-Oando)'!$B:$P,3,FALSE),0)</f>
        <v>1500000</v>
      </c>
      <c r="N34" s="58">
        <f>IFERROR(VLOOKUP($B34,'Assumption (MedClinic-Oando)'!$B:$P,3,FALSE),0)</f>
        <v>1500000</v>
      </c>
      <c r="O34" s="58">
        <f>IFERROR(VLOOKUP($B34,'Assumption (MedClinic-Oando)'!$B:$P,3,FALSE),0)</f>
        <v>1500000</v>
      </c>
      <c r="P34" s="69">
        <f t="shared" si="6"/>
        <v>18000000</v>
      </c>
      <c r="Q34" s="58">
        <f>P34*(1+'[2]Assumption (Advisory)'!E$46)</f>
        <v>20700000</v>
      </c>
      <c r="R34" s="58">
        <f>Q34*(1+'[2]Assumption (Advisory)'!F$46)</f>
        <v>23805000</v>
      </c>
      <c r="S34" s="58">
        <f>R34*(1+'[2]Assumption (Advisory)'!G$46)</f>
        <v>27375749.999999996</v>
      </c>
      <c r="T34" s="58">
        <f>S34*(1+'[2]Assumption (Advisory)'!H$46)</f>
        <v>31482112.499999993</v>
      </c>
      <c r="U34" s="50"/>
    </row>
    <row r="35" spans="2:21" x14ac:dyDescent="0.35">
      <c r="B35" s="29" t="s">
        <v>95</v>
      </c>
      <c r="D35" s="58">
        <f>IFERROR(VLOOKUP($B35,'Assumption (MedClinic-Oando)'!$B:$P,3,FALSE),0)</f>
        <v>3000000</v>
      </c>
      <c r="E35" s="58">
        <f>IFERROR(VLOOKUP($B35,'Assumption (MedClinic-Oando)'!$B:$P,3,FALSE),0)</f>
        <v>3000000</v>
      </c>
      <c r="F35" s="58">
        <f>IFERROR(VLOOKUP($B35,'Assumption (MedClinic-Oando)'!$B:$P,3,FALSE),0)</f>
        <v>3000000</v>
      </c>
      <c r="G35" s="58">
        <f>IFERROR(VLOOKUP($B35,'Assumption (MedClinic-Oando)'!$B:$P,3,FALSE),0)</f>
        <v>3000000</v>
      </c>
      <c r="H35" s="58">
        <f>IFERROR(VLOOKUP($B35,'Assumption (MedClinic-Oando)'!$B:$P,3,FALSE),0)</f>
        <v>3000000</v>
      </c>
      <c r="I35" s="58">
        <f>IFERROR(VLOOKUP($B35,'Assumption (MedClinic-Oando)'!$B:$P,3,FALSE),0)</f>
        <v>3000000</v>
      </c>
      <c r="J35" s="58">
        <f>IFERROR(VLOOKUP($B35,'Assumption (MedClinic-Oando)'!$B:$P,3,FALSE),0)</f>
        <v>3000000</v>
      </c>
      <c r="K35" s="58">
        <f>IFERROR(VLOOKUP($B35,'Assumption (MedClinic-Oando)'!$B:$P,3,FALSE),0)</f>
        <v>3000000</v>
      </c>
      <c r="L35" s="58">
        <f>IFERROR(VLOOKUP($B35,'Assumption (MedClinic-Oando)'!$B:$P,3,FALSE),0)</f>
        <v>3000000</v>
      </c>
      <c r="M35" s="58">
        <f>IFERROR(VLOOKUP($B35,'Assumption (MedClinic-Oando)'!$B:$P,3,FALSE),0)</f>
        <v>3000000</v>
      </c>
      <c r="N35" s="58">
        <f>IFERROR(VLOOKUP($B35,'Assumption (MedClinic-Oando)'!$B:$P,3,FALSE),0)</f>
        <v>3000000</v>
      </c>
      <c r="O35" s="58">
        <f>IFERROR(VLOOKUP($B35,'Assumption (MedClinic-Oando)'!$B:$P,3,FALSE),0)</f>
        <v>3000000</v>
      </c>
      <c r="P35" s="69">
        <f t="shared" si="6"/>
        <v>36000000</v>
      </c>
      <c r="Q35" s="58">
        <f>P35*(1+'[2]Assumption (Advisory)'!E$46)</f>
        <v>41400000</v>
      </c>
      <c r="R35" s="58">
        <f>Q35*(1+'[2]Assumption (Advisory)'!F$46)</f>
        <v>47610000</v>
      </c>
      <c r="S35" s="58">
        <f>R35*(1+'[2]Assumption (Advisory)'!G$46)</f>
        <v>54751499.999999993</v>
      </c>
      <c r="T35" s="58">
        <f>S35*(1+'[2]Assumption (Advisory)'!H$46)</f>
        <v>62964224.999999985</v>
      </c>
      <c r="U35" s="50"/>
    </row>
    <row r="36" spans="2:21" hidden="1" x14ac:dyDescent="0.35">
      <c r="B36" s="29" t="s">
        <v>96</v>
      </c>
      <c r="D36" s="58">
        <f>IFERROR(VLOOKUP($B36,'Assumption (MedClinic-Oando)'!$B:$P,3,FALSE),0)</f>
        <v>0</v>
      </c>
      <c r="E36" s="58">
        <f>IFERROR(VLOOKUP($B36,'Assumption (MedClinic-Oando)'!$B:$P,3,FALSE),0)</f>
        <v>0</v>
      </c>
      <c r="F36" s="58">
        <f>IFERROR(VLOOKUP($B36,'Assumption (MedClinic-Oando)'!$B:$P,3,FALSE),0)</f>
        <v>0</v>
      </c>
      <c r="G36" s="58">
        <f>IFERROR(VLOOKUP($B36,'Assumption (MedClinic-Oando)'!$B:$P,3,FALSE),0)</f>
        <v>0</v>
      </c>
      <c r="H36" s="58">
        <f>IFERROR(VLOOKUP($B36,'Assumption (MedClinic-Oando)'!$B:$P,3,FALSE),0)</f>
        <v>0</v>
      </c>
      <c r="I36" s="58">
        <f>IFERROR(VLOOKUP($B36,'Assumption (MedClinic-Oando)'!$B:$P,3,FALSE),0)</f>
        <v>0</v>
      </c>
      <c r="J36" s="58">
        <f>IFERROR(VLOOKUP($B36,'Assumption (MedClinic-Oando)'!$B:$P,3,FALSE),0)</f>
        <v>0</v>
      </c>
      <c r="K36" s="58">
        <f>IFERROR(VLOOKUP($B36,'Assumption (MedClinic-Oando)'!$B:$P,3,FALSE),0)</f>
        <v>0</v>
      </c>
      <c r="L36" s="58">
        <f>IFERROR(VLOOKUP($B36,'Assumption (MedClinic-Oando)'!$B:$P,3,FALSE),0)</f>
        <v>0</v>
      </c>
      <c r="M36" s="58">
        <f>IFERROR(VLOOKUP($B36,'Assumption (MedClinic-Oando)'!$B:$P,3,FALSE),0)</f>
        <v>0</v>
      </c>
      <c r="N36" s="58">
        <f>IFERROR(VLOOKUP($B36,'Assumption (MedClinic-Oando)'!$B:$P,3,FALSE),0)</f>
        <v>0</v>
      </c>
      <c r="O36" s="58">
        <f>IFERROR(VLOOKUP($B36,'Assumption (MedClinic-Oando)'!$B:$P,3,FALSE),0)</f>
        <v>0</v>
      </c>
      <c r="P36" s="69">
        <f t="shared" si="6"/>
        <v>0</v>
      </c>
      <c r="Q36" s="58">
        <f>P36*(1+'[2]Assumption (Advisory)'!E$46)</f>
        <v>0</v>
      </c>
      <c r="R36" s="58">
        <f>Q36*(1+'[2]Assumption (Advisory)'!F$46)</f>
        <v>0</v>
      </c>
      <c r="S36" s="58">
        <f>R36*(1+'[2]Assumption (Advisory)'!G$46)</f>
        <v>0</v>
      </c>
      <c r="T36" s="58">
        <f>S36*(1+'[2]Assumption (Advisory)'!H$46)</f>
        <v>0</v>
      </c>
      <c r="U36" s="50"/>
    </row>
    <row r="37" spans="2:21" x14ac:dyDescent="0.35">
      <c r="B37" s="29"/>
      <c r="D37" s="58">
        <f>IFERROR(VLOOKUP($B37,'Assumption (MedClinic-Oando)'!$B:$P,3,FALSE),0)</f>
        <v>0</v>
      </c>
      <c r="E37" s="58">
        <f>IFERROR(VLOOKUP($B37,'Assumption (MedClinic-Oando)'!$B:$P,3,FALSE),0)</f>
        <v>0</v>
      </c>
      <c r="F37" s="58">
        <f>IFERROR(VLOOKUP($B37,'Assumption (MedClinic-Oando)'!$B:$P,3,FALSE),0)</f>
        <v>0</v>
      </c>
      <c r="G37" s="58">
        <f>IFERROR(VLOOKUP($B37,'Assumption (MedClinic-Oando)'!$B:$P,3,FALSE),0)</f>
        <v>0</v>
      </c>
      <c r="H37" s="58">
        <f>IFERROR(VLOOKUP($B37,'Assumption (MedClinic-Oando)'!$B:$P,3,FALSE),0)</f>
        <v>0</v>
      </c>
      <c r="I37" s="58">
        <f>IFERROR(VLOOKUP($B37,'Assumption (MedClinic-Oando)'!$B:$P,3,FALSE),0)</f>
        <v>0</v>
      </c>
      <c r="J37" s="58">
        <f>IFERROR(VLOOKUP($B37,'Assumption (MedClinic-Oando)'!$B:$P,3,FALSE),0)</f>
        <v>0</v>
      </c>
      <c r="K37" s="58">
        <f>IFERROR(VLOOKUP($B37,'Assumption (MedClinic-Oando)'!$B:$P,3,FALSE),0)</f>
        <v>0</v>
      </c>
      <c r="L37" s="58">
        <f>IFERROR(VLOOKUP($B37,'Assumption (MedClinic-Oando)'!$B:$P,3,FALSE),0)</f>
        <v>0</v>
      </c>
      <c r="M37" s="58">
        <f>IFERROR(VLOOKUP($B37,'Assumption (MedClinic-Oando)'!$B:$P,3,FALSE),0)</f>
        <v>0</v>
      </c>
      <c r="N37" s="58">
        <f>IFERROR(VLOOKUP($B37,'Assumption (MedClinic-Oando)'!$B:$P,3,FALSE),0)</f>
        <v>0</v>
      </c>
      <c r="O37" s="58">
        <f>IFERROR(VLOOKUP($B37,'Assumption (MedClinic-Oando)'!$B:$P,3,FALSE),0)</f>
        <v>0</v>
      </c>
      <c r="P37" s="69">
        <f t="shared" si="6"/>
        <v>0</v>
      </c>
      <c r="Q37" s="58">
        <f>P37*(1+'[2]Assumption (Advisory)'!E$46)</f>
        <v>0</v>
      </c>
      <c r="R37" s="58">
        <f>Q37*(1+'[2]Assumption (Advisory)'!F$46)</f>
        <v>0</v>
      </c>
      <c r="S37" s="58">
        <f>R37*(1+'[2]Assumption (Advisory)'!G$46)</f>
        <v>0</v>
      </c>
      <c r="T37" s="58">
        <f>S37*(1+'[2]Assumption (Advisory)'!H$46)</f>
        <v>0</v>
      </c>
      <c r="U37" s="50"/>
    </row>
    <row r="38" spans="2:21" ht="16.5" thickBot="1" x14ac:dyDescent="0.4">
      <c r="B38" s="71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50"/>
    </row>
    <row r="39" spans="2:21" ht="16.5" thickBot="1" x14ac:dyDescent="0.4">
      <c r="B39" s="77" t="s">
        <v>103</v>
      </c>
      <c r="C39" s="70"/>
      <c r="D39" s="78">
        <f t="shared" ref="D39:O39" si="7">SUM(D22:D37)</f>
        <v>48494916.666666672</v>
      </c>
      <c r="E39" s="78">
        <f t="shared" si="7"/>
        <v>48494916.666666672</v>
      </c>
      <c r="F39" s="78">
        <f t="shared" si="7"/>
        <v>48494916.666666672</v>
      </c>
      <c r="G39" s="78">
        <f t="shared" si="7"/>
        <v>48494916.666666672</v>
      </c>
      <c r="H39" s="78">
        <f t="shared" si="7"/>
        <v>48494916.666666672</v>
      </c>
      <c r="I39" s="78">
        <f t="shared" si="7"/>
        <v>48494916.666666672</v>
      </c>
      <c r="J39" s="78">
        <f t="shared" si="7"/>
        <v>48494916.666666672</v>
      </c>
      <c r="K39" s="78">
        <f t="shared" si="7"/>
        <v>48494916.666666672</v>
      </c>
      <c r="L39" s="78">
        <f t="shared" si="7"/>
        <v>48494916.666666672</v>
      </c>
      <c r="M39" s="78">
        <f t="shared" si="7"/>
        <v>48494916.666666672</v>
      </c>
      <c r="N39" s="78">
        <f t="shared" si="7"/>
        <v>48494916.666666672</v>
      </c>
      <c r="O39" s="78">
        <f t="shared" si="7"/>
        <v>48494916.666666672</v>
      </c>
      <c r="P39" s="78">
        <f>SUM(P22:P37)</f>
        <v>581939000.00000024</v>
      </c>
      <c r="Q39" s="78">
        <f t="shared" ref="Q39:T39" si="8">SUM(Q22:Q37)</f>
        <v>645329850.00000036</v>
      </c>
      <c r="R39" s="78">
        <f t="shared" si="8"/>
        <v>715839327.50000036</v>
      </c>
      <c r="S39" s="78">
        <f t="shared" si="8"/>
        <v>794296226.62500048</v>
      </c>
      <c r="T39" s="78">
        <f t="shared" si="8"/>
        <v>881629760.61875057</v>
      </c>
      <c r="U39" s="50"/>
    </row>
    <row r="40" spans="2:21" ht="16.5" thickBot="1" x14ac:dyDescent="0.4">
      <c r="B40" s="71"/>
      <c r="C40" s="70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50"/>
    </row>
    <row r="41" spans="2:21" ht="16.5" thickBot="1" x14ac:dyDescent="0.4">
      <c r="B41" s="77" t="s">
        <v>104</v>
      </c>
      <c r="C41" s="70"/>
      <c r="D41" s="78">
        <f>D19-D39</f>
        <v>73722400</v>
      </c>
      <c r="E41" s="78">
        <f t="shared" ref="E41:T41" si="9">E19-E39</f>
        <v>73722400</v>
      </c>
      <c r="F41" s="78">
        <f t="shared" si="9"/>
        <v>73722400</v>
      </c>
      <c r="G41" s="78">
        <f t="shared" si="9"/>
        <v>73722400</v>
      </c>
      <c r="H41" s="78">
        <f t="shared" si="9"/>
        <v>73722400</v>
      </c>
      <c r="I41" s="78">
        <f t="shared" si="9"/>
        <v>73722400</v>
      </c>
      <c r="J41" s="78">
        <f t="shared" si="9"/>
        <v>73722400</v>
      </c>
      <c r="K41" s="78">
        <f t="shared" si="9"/>
        <v>73722400</v>
      </c>
      <c r="L41" s="78">
        <f t="shared" si="9"/>
        <v>73722400</v>
      </c>
      <c r="M41" s="78">
        <f t="shared" si="9"/>
        <v>73722400</v>
      </c>
      <c r="N41" s="78">
        <f t="shared" si="9"/>
        <v>73722400</v>
      </c>
      <c r="O41" s="78">
        <f t="shared" si="9"/>
        <v>73722400</v>
      </c>
      <c r="P41" s="78">
        <f t="shared" si="9"/>
        <v>884668800</v>
      </c>
      <c r="Q41" s="78">
        <f t="shared" si="9"/>
        <v>2532958914</v>
      </c>
      <c r="R41" s="78">
        <f t="shared" si="9"/>
        <v>3670199166.8199992</v>
      </c>
      <c r="S41" s="78">
        <f t="shared" si="9"/>
        <v>5258436895.5366001</v>
      </c>
      <c r="T41" s="78">
        <f t="shared" si="9"/>
        <v>7471141947.9642553</v>
      </c>
      <c r="U41" s="50"/>
    </row>
    <row r="42" spans="2:21" x14ac:dyDescent="0.35">
      <c r="B42" s="79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80"/>
      <c r="Q42" s="58"/>
      <c r="R42" s="58"/>
      <c r="S42" s="58"/>
      <c r="T42" s="58"/>
      <c r="U42" s="50"/>
    </row>
    <row r="43" spans="2:21" x14ac:dyDescent="0.35">
      <c r="B43" s="79" t="s">
        <v>94</v>
      </c>
      <c r="D43" s="58">
        <f>VLOOKUP($B43,'Assumption (MedClinic-Oando)'!$B:$P,3,FALSE)</f>
        <v>1500000</v>
      </c>
      <c r="E43" s="27">
        <f t="shared" ref="E43:O43" si="10">D43</f>
        <v>1500000</v>
      </c>
      <c r="F43" s="27">
        <f t="shared" si="10"/>
        <v>1500000</v>
      </c>
      <c r="G43" s="27">
        <f t="shared" si="10"/>
        <v>1500000</v>
      </c>
      <c r="H43" s="27">
        <f t="shared" si="10"/>
        <v>1500000</v>
      </c>
      <c r="I43" s="27">
        <f t="shared" si="10"/>
        <v>1500000</v>
      </c>
      <c r="J43" s="27">
        <f t="shared" si="10"/>
        <v>1500000</v>
      </c>
      <c r="K43" s="27">
        <f t="shared" si="10"/>
        <v>1500000</v>
      </c>
      <c r="L43" s="27">
        <f t="shared" si="10"/>
        <v>1500000</v>
      </c>
      <c r="M43" s="27">
        <f t="shared" si="10"/>
        <v>1500000</v>
      </c>
      <c r="N43" s="27">
        <f t="shared" si="10"/>
        <v>1500000</v>
      </c>
      <c r="O43" s="27">
        <f t="shared" si="10"/>
        <v>1500000</v>
      </c>
      <c r="P43" s="80">
        <f t="shared" ref="P43" si="11">SUM(D43:O43)</f>
        <v>18000000</v>
      </c>
      <c r="Q43" s="58">
        <f>P43*(1+'[2]Assumption (Advisory)'!E$46)</f>
        <v>20700000</v>
      </c>
      <c r="R43" s="58">
        <f>Q43*(1+'[2]Assumption (Advisory)'!F$46)</f>
        <v>23805000</v>
      </c>
      <c r="S43" s="58">
        <f>R43*(1+'[2]Assumption (Advisory)'!G$46)</f>
        <v>27375749.999999996</v>
      </c>
      <c r="T43" s="58">
        <f>S43*(1+'[2]Assumption (Advisory)'!H$46)</f>
        <v>31482112.499999993</v>
      </c>
      <c r="U43" s="50"/>
    </row>
    <row r="44" spans="2:21" ht="16.5" thickBot="1" x14ac:dyDescent="0.4">
      <c r="B44" s="65"/>
      <c r="C44" s="75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81"/>
      <c r="Q44" s="76"/>
      <c r="R44" s="76"/>
      <c r="S44" s="76"/>
      <c r="T44" s="76"/>
      <c r="U44" s="50"/>
    </row>
    <row r="45" spans="2:21" ht="16.5" thickBot="1" x14ac:dyDescent="0.4">
      <c r="B45" s="65" t="s">
        <v>105</v>
      </c>
      <c r="C45" s="75"/>
      <c r="D45" s="78">
        <f>D41-D43</f>
        <v>72222400</v>
      </c>
      <c r="E45" s="78">
        <f t="shared" ref="E45:T45" si="12">E41-E43</f>
        <v>72222400</v>
      </c>
      <c r="F45" s="78">
        <f t="shared" si="12"/>
        <v>72222400</v>
      </c>
      <c r="G45" s="78">
        <f t="shared" si="12"/>
        <v>72222400</v>
      </c>
      <c r="H45" s="78">
        <f t="shared" si="12"/>
        <v>72222400</v>
      </c>
      <c r="I45" s="78">
        <f t="shared" si="12"/>
        <v>72222400</v>
      </c>
      <c r="J45" s="78">
        <f t="shared" si="12"/>
        <v>72222400</v>
      </c>
      <c r="K45" s="78">
        <f t="shared" si="12"/>
        <v>72222400</v>
      </c>
      <c r="L45" s="78">
        <f t="shared" si="12"/>
        <v>72222400</v>
      </c>
      <c r="M45" s="78">
        <f t="shared" si="12"/>
        <v>72222400</v>
      </c>
      <c r="N45" s="78">
        <f t="shared" si="12"/>
        <v>72222400</v>
      </c>
      <c r="O45" s="78">
        <f t="shared" si="12"/>
        <v>72222400</v>
      </c>
      <c r="P45" s="78">
        <f t="shared" si="12"/>
        <v>866668800</v>
      </c>
      <c r="Q45" s="78">
        <f t="shared" si="12"/>
        <v>2512258914</v>
      </c>
      <c r="R45" s="78">
        <f t="shared" si="12"/>
        <v>3646394166.8199992</v>
      </c>
      <c r="S45" s="78">
        <f t="shared" si="12"/>
        <v>5231061145.5366001</v>
      </c>
      <c r="T45" s="78">
        <f t="shared" si="12"/>
        <v>7439659835.4642553</v>
      </c>
      <c r="U45" s="50"/>
    </row>
    <row r="46" spans="2:21" ht="16.5" hidden="1" thickBot="1" x14ac:dyDescent="0.4">
      <c r="B46" s="65"/>
      <c r="C46" s="75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81"/>
      <c r="Q46" s="58"/>
      <c r="R46" s="58"/>
      <c r="S46" s="58"/>
      <c r="T46" s="58"/>
      <c r="U46" s="50"/>
    </row>
    <row r="47" spans="2:21" ht="16.5" hidden="1" thickBot="1" x14ac:dyDescent="0.4">
      <c r="B47" s="65" t="s">
        <v>106</v>
      </c>
      <c r="C47" s="75"/>
      <c r="D47" s="78">
        <f>D45</f>
        <v>72222400</v>
      </c>
      <c r="E47" s="78">
        <f>D47+E45</f>
        <v>144444800</v>
      </c>
      <c r="F47" s="78">
        <f t="shared" ref="F47:O47" si="13">E47+F45</f>
        <v>216667200</v>
      </c>
      <c r="G47" s="78">
        <f t="shared" si="13"/>
        <v>288889600</v>
      </c>
      <c r="H47" s="78">
        <f t="shared" si="13"/>
        <v>361112000</v>
      </c>
      <c r="I47" s="78">
        <f t="shared" si="13"/>
        <v>433334400</v>
      </c>
      <c r="J47" s="78">
        <f t="shared" si="13"/>
        <v>505556800</v>
      </c>
      <c r="K47" s="78">
        <f t="shared" si="13"/>
        <v>577779200</v>
      </c>
      <c r="L47" s="78">
        <f t="shared" si="13"/>
        <v>650001600</v>
      </c>
      <c r="M47" s="78">
        <f t="shared" si="13"/>
        <v>722224000</v>
      </c>
      <c r="N47" s="78">
        <f t="shared" si="13"/>
        <v>794446400</v>
      </c>
      <c r="O47" s="78">
        <f t="shared" si="13"/>
        <v>866668800</v>
      </c>
      <c r="P47" s="78">
        <f>P45</f>
        <v>866668800</v>
      </c>
      <c r="Q47" s="76">
        <f>P47+Q41</f>
        <v>3399627714</v>
      </c>
      <c r="R47" s="76">
        <f t="shared" ref="R47:T47" si="14">Q47+R41</f>
        <v>7069826880.8199997</v>
      </c>
      <c r="S47" s="76">
        <f t="shared" si="14"/>
        <v>12328263776.3566</v>
      </c>
      <c r="T47" s="76">
        <f t="shared" si="14"/>
        <v>19799405724.320854</v>
      </c>
      <c r="U47" s="50"/>
    </row>
    <row r="48" spans="2:21" ht="16.5" hidden="1" outlineLevel="1" thickBot="1" x14ac:dyDescent="0.4">
      <c r="B48" s="65"/>
      <c r="C48" s="75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81"/>
      <c r="Q48" s="76"/>
      <c r="R48" s="76"/>
      <c r="S48" s="76"/>
      <c r="T48" s="76"/>
      <c r="U48" s="50"/>
    </row>
    <row r="49" spans="2:21" ht="16.5" hidden="1" outlineLevel="1" thickBot="1" x14ac:dyDescent="0.4">
      <c r="B49" s="65" t="s">
        <v>107</v>
      </c>
      <c r="C49" s="75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81"/>
      <c r="Q49" s="76"/>
      <c r="R49" s="76"/>
      <c r="S49" s="76"/>
      <c r="T49" s="76"/>
      <c r="U49" s="50"/>
    </row>
    <row r="50" spans="2:21" ht="16.5" hidden="1" outlineLevel="1" thickBot="1" x14ac:dyDescent="0.4">
      <c r="B50" s="65"/>
      <c r="C50" s="75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81"/>
      <c r="Q50" s="76"/>
      <c r="R50" s="76"/>
      <c r="S50" s="76"/>
      <c r="T50" s="76"/>
      <c r="U50" s="50"/>
    </row>
    <row r="51" spans="2:21" ht="16.5" hidden="1" outlineLevel="1" thickBot="1" x14ac:dyDescent="0.4">
      <c r="B51" s="65" t="s">
        <v>108</v>
      </c>
      <c r="C51" s="75"/>
      <c r="D51" s="78">
        <f>D47-D49</f>
        <v>72222400</v>
      </c>
      <c r="E51" s="78">
        <f t="shared" ref="E51:O51" si="15">E47-E49</f>
        <v>144444800</v>
      </c>
      <c r="F51" s="78">
        <f t="shared" si="15"/>
        <v>216667200</v>
      </c>
      <c r="G51" s="78">
        <f t="shared" si="15"/>
        <v>288889600</v>
      </c>
      <c r="H51" s="78">
        <f t="shared" si="15"/>
        <v>361112000</v>
      </c>
      <c r="I51" s="78">
        <f t="shared" si="15"/>
        <v>433334400</v>
      </c>
      <c r="J51" s="78">
        <f t="shared" si="15"/>
        <v>505556800</v>
      </c>
      <c r="K51" s="78">
        <f t="shared" si="15"/>
        <v>577779200</v>
      </c>
      <c r="L51" s="78">
        <f t="shared" si="15"/>
        <v>650001600</v>
      </c>
      <c r="M51" s="78">
        <f t="shared" si="15"/>
        <v>722224000</v>
      </c>
      <c r="N51" s="78">
        <f t="shared" si="15"/>
        <v>794446400</v>
      </c>
      <c r="O51" s="78">
        <f t="shared" si="15"/>
        <v>866668800</v>
      </c>
      <c r="P51" s="81">
        <f>P47-P49</f>
        <v>866668800</v>
      </c>
      <c r="Q51" s="76">
        <f t="shared" ref="Q51:T51" si="16">Q47-Q49</f>
        <v>3399627714</v>
      </c>
      <c r="R51" s="76">
        <f t="shared" si="16"/>
        <v>7069826880.8199997</v>
      </c>
      <c r="S51" s="76">
        <f t="shared" si="16"/>
        <v>12328263776.3566</v>
      </c>
      <c r="T51" s="76">
        <f t="shared" si="16"/>
        <v>19799405724.320854</v>
      </c>
      <c r="U51" s="50"/>
    </row>
    <row r="52" spans="2:21" ht="16.5" hidden="1" outlineLevel="1" thickBot="1" x14ac:dyDescent="0.4">
      <c r="B52" s="65"/>
      <c r="C52" s="75"/>
      <c r="D52" s="66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6"/>
      <c r="Q52" s="76"/>
      <c r="R52" s="76"/>
      <c r="S52" s="76"/>
      <c r="T52" s="76"/>
      <c r="U52" s="50"/>
    </row>
    <row r="53" spans="2:21" ht="16.5" hidden="1" collapsed="1" thickBot="1" x14ac:dyDescent="0.4">
      <c r="B53" s="65" t="s">
        <v>109</v>
      </c>
      <c r="C53" s="75"/>
      <c r="D53" s="66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66" t="str">
        <f>IF(P51&gt;0,"1 Year"," ")</f>
        <v>1 Year</v>
      </c>
      <c r="Q53" s="66" t="str">
        <f>IF(Q51&gt;0,"2 Year"," ")</f>
        <v>2 Year</v>
      </c>
      <c r="R53" s="66" t="str">
        <f>IF(R51&gt;0,"3 Year"," ")</f>
        <v>3 Year</v>
      </c>
      <c r="S53" s="66" t="str">
        <f>IF(S51&gt;0,"4 Year"," ")</f>
        <v>4 Year</v>
      </c>
      <c r="T53" s="66" t="str">
        <f>IF(T51&gt;0,"5 Year"," ")</f>
        <v>5 Year</v>
      </c>
    </row>
  </sheetData>
  <pageMargins left="0.7" right="0.7" top="0.75" bottom="0.75" header="0.3" footer="0.3"/>
  <pageSetup scale="3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Assumption (Corp Clinic)</vt:lpstr>
      <vt:lpstr>Computations (Corp Clinic)</vt:lpstr>
      <vt:lpstr>Sheet1</vt:lpstr>
      <vt:lpstr>Assumption (MedClinic-Oando)</vt:lpstr>
      <vt:lpstr>Computations (MedClinic-Oando)</vt:lpstr>
      <vt:lpstr>'Computations (Corp Clinic)'!Print_Area</vt:lpstr>
      <vt:lpstr>'Computations (MedClinic-Oando)'!Print_Area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john.aigbonohan@medburymedicals.com</dc:creator>
  <cp:lastModifiedBy>MMS PHIA Chief Operational Officer</cp:lastModifiedBy>
  <dcterms:created xsi:type="dcterms:W3CDTF">2025-04-04T12:48:21Z</dcterms:created>
  <dcterms:modified xsi:type="dcterms:W3CDTF">2025-05-03T12:11:53Z</dcterms:modified>
</cp:coreProperties>
</file>