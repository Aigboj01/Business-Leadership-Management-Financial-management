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udgets for MMS\"/>
    </mc:Choice>
  </mc:AlternateContent>
  <xr:revisionPtr revIDLastSave="0" documentId="8_{DA5DC1F3-76DC-4A51-914F-B838539E5D9C}" xr6:coauthVersionLast="47" xr6:coauthVersionMax="47" xr10:uidLastSave="{00000000-0000-0000-0000-000000000000}"/>
  <bookViews>
    <workbookView xWindow="-110" yWindow="-110" windowWidth="19420" windowHeight="10300" tabRatio="550" activeTab="1" xr2:uid="{4CFB4E10-6229-41B1-9DCA-0EAE63BFE968}"/>
  </bookViews>
  <sheets>
    <sheet name="Assumption (Advisory)" sheetId="5" r:id="rId1"/>
    <sheet name="Computations (Advisory)" sheetId="4" r:id="rId2"/>
    <sheet name="Assumption (MedClinic)" sheetId="6" state="hidden" r:id="rId3"/>
    <sheet name="Computations (MedClinic)" sheetId="7" state="hidden" r:id="rId4"/>
  </sheets>
  <externalReferences>
    <externalReference r:id="rId5"/>
    <externalReference r:id="rId6"/>
  </externalReferences>
  <definedNames>
    <definedName name="afril">#REF!</definedName>
    <definedName name="AS2DocOpenMode" hidden="1">"AS2DocumentBrowse"</definedName>
    <definedName name="BS">#REF!</definedName>
    <definedName name="CIQWBGuid" hidden="1">"2cd8126d-26c3-430c-b7fa-a069e3a1fc62"</definedName>
    <definedName name="costaa">#REF!</definedName>
    <definedName name="Department">#REF!</definedName>
    <definedName name="expense">'[1]Exp scxhedule'!$AU$10:$AU$43</definedName>
    <definedName name="Expenses">#REF!</definedName>
    <definedName name="F">#REF!</definedName>
    <definedName name="fs">#REF!</definedName>
    <definedName name="GGGG">#REF!</definedName>
    <definedName name="groupincome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OCATION">[1]Payables!$W$4:$W$6</definedName>
    <definedName name="Locattion">'[1]Exp scxhedule'!$AX$10:$AX$11</definedName>
    <definedName name="MANS">#REF!</definedName>
    <definedName name="OLDMAN">#REF!</definedName>
    <definedName name="PAC">#REF!</definedName>
    <definedName name="PL">#REF!</definedName>
    <definedName name="_xlnm.Print_Area" localSheetId="0">'Assumption (Advisory)'!$A$1:$O$69</definedName>
    <definedName name="_xlnm.Print_Area" localSheetId="1">'Computations (Advisory)'!$A$1:$T$50</definedName>
    <definedName name="_xlnm.Print_Area" localSheetId="3">'Computations (MedClinic)'!$A$1:$T$49</definedName>
    <definedName name="REGISTRAR">#REF!</definedName>
    <definedName name="SCHD3">#REF!</definedName>
    <definedName name="SCHED1">#REF!</definedName>
    <definedName name="SCHED2">#REF!</definedName>
    <definedName name="SCHED3">#REF!</definedName>
    <definedName name="SCHED4">#REF!</definedName>
    <definedName name="SEMI">#REF!</definedName>
    <definedName name="SSES">#REF!</definedName>
    <definedName name="STAT">'[1]Exp scxhedule'!$AY$10:$AY$13</definedName>
    <definedName name="SUMMARY">#REF!</definedName>
    <definedName name="yy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5" l="1"/>
  <c r="K16" i="5"/>
  <c r="H16" i="5"/>
  <c r="E16" i="5"/>
  <c r="D62" i="6"/>
  <c r="D20" i="6" s="1"/>
  <c r="D91" i="6"/>
  <c r="D92" i="6"/>
  <c r="D41" i="6"/>
  <c r="D61" i="6"/>
  <c r="E20" i="6" l="1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l="1"/>
  <c r="E62" i="6" l="1"/>
  <c r="F62" i="6" s="1"/>
  <c r="G62" i="6" s="1"/>
  <c r="H62" i="6" s="1"/>
  <c r="I62" i="6" s="1"/>
  <c r="J62" i="6" s="1"/>
  <c r="K62" i="6" s="1"/>
  <c r="L62" i="6" s="1"/>
  <c r="M62" i="6" s="1"/>
  <c r="N62" i="6" s="1"/>
  <c r="O62" i="6" s="1"/>
  <c r="E61" i="6"/>
  <c r="F61" i="6" s="1"/>
  <c r="G61" i="6" s="1"/>
  <c r="H61" i="6" s="1"/>
  <c r="I61" i="6" s="1"/>
  <c r="J61" i="6" s="1"/>
  <c r="K61" i="6" s="1"/>
  <c r="L61" i="6" s="1"/>
  <c r="M61" i="6" s="1"/>
  <c r="N61" i="6" s="1"/>
  <c r="O61" i="6" s="1"/>
  <c r="D35" i="7"/>
  <c r="E35" i="7" s="1"/>
  <c r="F35" i="7" s="1"/>
  <c r="G35" i="7" s="1"/>
  <c r="H35" i="7" s="1"/>
  <c r="I35" i="7" s="1"/>
  <c r="J35" i="7" s="1"/>
  <c r="K35" i="7" s="1"/>
  <c r="L35" i="7" s="1"/>
  <c r="M35" i="7" s="1"/>
  <c r="N35" i="7" s="1"/>
  <c r="O35" i="7" s="1"/>
  <c r="P42" i="6"/>
  <c r="P43" i="6"/>
  <c r="G41" i="6"/>
  <c r="H41" i="6" s="1"/>
  <c r="I41" i="6" s="1"/>
  <c r="J41" i="6" s="1"/>
  <c r="K41" i="6" s="1"/>
  <c r="L41" i="6" s="1"/>
  <c r="M41" i="6" s="1"/>
  <c r="N41" i="6" s="1"/>
  <c r="O41" i="6" s="1"/>
  <c r="D36" i="7" l="1"/>
  <c r="E36" i="7" s="1"/>
  <c r="F36" i="7" s="1"/>
  <c r="G36" i="7" s="1"/>
  <c r="H36" i="7" s="1"/>
  <c r="I36" i="7" s="1"/>
  <c r="J36" i="7" s="1"/>
  <c r="K36" i="7" s="1"/>
  <c r="L36" i="7" s="1"/>
  <c r="M36" i="7" s="1"/>
  <c r="N36" i="7" s="1"/>
  <c r="O36" i="7" s="1"/>
  <c r="P35" i="7"/>
  <c r="Q35" i="7" s="1"/>
  <c r="R35" i="7" s="1"/>
  <c r="S35" i="7" s="1"/>
  <c r="T35" i="7" s="1"/>
  <c r="P41" i="6"/>
  <c r="D19" i="6"/>
  <c r="P36" i="7" l="1"/>
  <c r="Q36" i="7" s="1"/>
  <c r="R36" i="7" s="1"/>
  <c r="S36" i="7" s="1"/>
  <c r="T36" i="7" s="1"/>
  <c r="E19" i="6" l="1"/>
  <c r="P34" i="6"/>
  <c r="E26" i="6"/>
  <c r="F26" i="6"/>
  <c r="D26" i="6"/>
  <c r="R15" i="7"/>
  <c r="S15" i="7" s="1"/>
  <c r="T15" i="7" s="1"/>
  <c r="U84" i="6"/>
  <c r="U85" i="6"/>
  <c r="U86" i="6"/>
  <c r="U87" i="6"/>
  <c r="U83" i="6"/>
  <c r="D84" i="6"/>
  <c r="D81" i="6"/>
  <c r="G30" i="6"/>
  <c r="H30" i="6" s="1"/>
  <c r="D5" i="6"/>
  <c r="D6" i="6"/>
  <c r="D7" i="6"/>
  <c r="D8" i="6"/>
  <c r="D9" i="6"/>
  <c r="D10" i="6"/>
  <c r="D11" i="6"/>
  <c r="D4" i="6"/>
  <c r="E48" i="6"/>
  <c r="F48" i="6" s="1"/>
  <c r="G48" i="6" s="1"/>
  <c r="H48" i="6" s="1"/>
  <c r="I48" i="6" s="1"/>
  <c r="J48" i="6" s="1"/>
  <c r="K48" i="6" s="1"/>
  <c r="L48" i="6" s="1"/>
  <c r="M48" i="6" s="1"/>
  <c r="N48" i="6" s="1"/>
  <c r="O48" i="6" s="1"/>
  <c r="O5" i="6" s="1"/>
  <c r="E49" i="6"/>
  <c r="F49" i="6" s="1"/>
  <c r="G49" i="6" s="1"/>
  <c r="H49" i="6" s="1"/>
  <c r="I49" i="6" s="1"/>
  <c r="J49" i="6" s="1"/>
  <c r="K49" i="6" s="1"/>
  <c r="L49" i="6" s="1"/>
  <c r="M49" i="6" s="1"/>
  <c r="N49" i="6" s="1"/>
  <c r="O49" i="6" s="1"/>
  <c r="E50" i="6"/>
  <c r="F50" i="6" s="1"/>
  <c r="G50" i="6" s="1"/>
  <c r="H50" i="6" s="1"/>
  <c r="I50" i="6" s="1"/>
  <c r="J50" i="6" s="1"/>
  <c r="K50" i="6" s="1"/>
  <c r="L50" i="6" s="1"/>
  <c r="M50" i="6" s="1"/>
  <c r="N50" i="6" s="1"/>
  <c r="O50" i="6" s="1"/>
  <c r="E51" i="6"/>
  <c r="F51" i="6" s="1"/>
  <c r="G51" i="6" s="1"/>
  <c r="H51" i="6" s="1"/>
  <c r="I51" i="6" s="1"/>
  <c r="J51" i="6" s="1"/>
  <c r="K51" i="6" s="1"/>
  <c r="L51" i="6" s="1"/>
  <c r="M51" i="6" s="1"/>
  <c r="N51" i="6" s="1"/>
  <c r="O51" i="6" s="1"/>
  <c r="O8" i="6" s="1"/>
  <c r="E52" i="6"/>
  <c r="F52" i="6" s="1"/>
  <c r="G52" i="6" s="1"/>
  <c r="H52" i="6" s="1"/>
  <c r="I52" i="6" s="1"/>
  <c r="J52" i="6" s="1"/>
  <c r="K52" i="6" s="1"/>
  <c r="L52" i="6" s="1"/>
  <c r="M52" i="6" s="1"/>
  <c r="N52" i="6" s="1"/>
  <c r="O52" i="6" s="1"/>
  <c r="O9" i="6" s="1"/>
  <c r="E53" i="6"/>
  <c r="E10" i="6" s="1"/>
  <c r="E54" i="6"/>
  <c r="F54" i="6" s="1"/>
  <c r="E47" i="6"/>
  <c r="F47" i="6" s="1"/>
  <c r="G47" i="6" s="1"/>
  <c r="H47" i="6" s="1"/>
  <c r="I47" i="6" s="1"/>
  <c r="J47" i="6" s="1"/>
  <c r="K47" i="6" s="1"/>
  <c r="L47" i="6" s="1"/>
  <c r="M47" i="6" s="1"/>
  <c r="N47" i="6" s="1"/>
  <c r="O47" i="6" s="1"/>
  <c r="O4" i="6" s="1"/>
  <c r="G29" i="6"/>
  <c r="H29" i="6" s="1"/>
  <c r="G33" i="6"/>
  <c r="E21" i="6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D59" i="6"/>
  <c r="F19" i="6" l="1"/>
  <c r="G19" i="6" s="1"/>
  <c r="H19" i="6" s="1"/>
  <c r="I19" i="6" s="1"/>
  <c r="J19" i="6" s="1"/>
  <c r="K19" i="6" s="1"/>
  <c r="L19" i="6" s="1"/>
  <c r="M19" i="6" s="1"/>
  <c r="N19" i="6" s="1"/>
  <c r="O19" i="6" s="1"/>
  <c r="G26" i="6"/>
  <c r="U88" i="6"/>
  <c r="D72" i="6" s="1"/>
  <c r="I30" i="6"/>
  <c r="G6" i="6"/>
  <c r="F6" i="6"/>
  <c r="M4" i="6"/>
  <c r="E4" i="6"/>
  <c r="F9" i="6"/>
  <c r="N8" i="6"/>
  <c r="H8" i="6"/>
  <c r="N9" i="6"/>
  <c r="F8" i="6"/>
  <c r="M9" i="6"/>
  <c r="E9" i="6"/>
  <c r="I8" i="6"/>
  <c r="H6" i="6"/>
  <c r="K9" i="6"/>
  <c r="G54" i="6"/>
  <c r="F11" i="6"/>
  <c r="J5" i="6"/>
  <c r="I5" i="6"/>
  <c r="L4" i="6"/>
  <c r="F53" i="6"/>
  <c r="L9" i="6"/>
  <c r="G8" i="6"/>
  <c r="E6" i="6"/>
  <c r="H5" i="6"/>
  <c r="K4" i="6"/>
  <c r="E11" i="6"/>
  <c r="G5" i="6"/>
  <c r="J9" i="6"/>
  <c r="M8" i="6"/>
  <c r="E8" i="6"/>
  <c r="H7" i="6"/>
  <c r="N5" i="6"/>
  <c r="F5" i="6"/>
  <c r="I4" i="6"/>
  <c r="I9" i="6"/>
  <c r="L8" i="6"/>
  <c r="G7" i="6"/>
  <c r="M5" i="6"/>
  <c r="E5" i="6"/>
  <c r="H4" i="6"/>
  <c r="H9" i="6"/>
  <c r="K8" i="6"/>
  <c r="F7" i="6"/>
  <c r="L5" i="6"/>
  <c r="G4" i="6"/>
  <c r="J4" i="6"/>
  <c r="G9" i="6"/>
  <c r="J8" i="6"/>
  <c r="E7" i="6"/>
  <c r="K5" i="6"/>
  <c r="N4" i="6"/>
  <c r="F4" i="6"/>
  <c r="H33" i="6"/>
  <c r="H26" i="6" s="1"/>
  <c r="I29" i="6"/>
  <c r="P21" i="6"/>
  <c r="D60" i="6"/>
  <c r="D57" i="6"/>
  <c r="P19" i="6" l="1"/>
  <c r="I6" i="6"/>
  <c r="P9" i="6"/>
  <c r="P5" i="6"/>
  <c r="J30" i="6"/>
  <c r="I7" i="6"/>
  <c r="P8" i="6"/>
  <c r="F10" i="6"/>
  <c r="G53" i="6"/>
  <c r="I33" i="6"/>
  <c r="J33" i="6" s="1"/>
  <c r="H54" i="6"/>
  <c r="G11" i="6"/>
  <c r="J29" i="6"/>
  <c r="I26" i="6" l="1"/>
  <c r="J6" i="6"/>
  <c r="J26" i="6"/>
  <c r="K30" i="6"/>
  <c r="J7" i="6"/>
  <c r="K33" i="6"/>
  <c r="L33" i="6" s="1"/>
  <c r="I54" i="6"/>
  <c r="H11" i="6"/>
  <c r="H53" i="6"/>
  <c r="G10" i="6"/>
  <c r="K29" i="6"/>
  <c r="K6" i="6" l="1"/>
  <c r="K26" i="6"/>
  <c r="L30" i="6"/>
  <c r="K7" i="6"/>
  <c r="I53" i="6"/>
  <c r="H10" i="6"/>
  <c r="J54" i="6"/>
  <c r="I11" i="6"/>
  <c r="L29" i="6"/>
  <c r="M33" i="6"/>
  <c r="L6" i="6" l="1"/>
  <c r="L26" i="6"/>
  <c r="M30" i="6"/>
  <c r="L7" i="6"/>
  <c r="K54" i="6"/>
  <c r="J11" i="6"/>
  <c r="J53" i="6"/>
  <c r="I10" i="6"/>
  <c r="N33" i="6"/>
  <c r="M29" i="6"/>
  <c r="M6" i="6" l="1"/>
  <c r="M26" i="6"/>
  <c r="N30" i="6"/>
  <c r="M7" i="6"/>
  <c r="K53" i="6"/>
  <c r="J10" i="6"/>
  <c r="L54" i="6"/>
  <c r="K11" i="6"/>
  <c r="N29" i="6"/>
  <c r="O33" i="6"/>
  <c r="N6" i="6" l="1"/>
  <c r="N26" i="6"/>
  <c r="O30" i="6"/>
  <c r="N7" i="6"/>
  <c r="M54" i="6"/>
  <c r="L11" i="6"/>
  <c r="L53" i="6"/>
  <c r="K10" i="6"/>
  <c r="P33" i="6"/>
  <c r="O29" i="6"/>
  <c r="O6" i="6" l="1"/>
  <c r="P6" i="6" s="1"/>
  <c r="O26" i="6"/>
  <c r="O7" i="6"/>
  <c r="P7" i="6" s="1"/>
  <c r="P30" i="6"/>
  <c r="M53" i="6"/>
  <c r="L10" i="6"/>
  <c r="N54" i="6"/>
  <c r="M11" i="6"/>
  <c r="P32" i="6"/>
  <c r="P31" i="6"/>
  <c r="P29" i="6"/>
  <c r="O54" i="6" l="1"/>
  <c r="O11" i="6" s="1"/>
  <c r="N11" i="6"/>
  <c r="N53" i="6"/>
  <c r="M10" i="6"/>
  <c r="P11" i="6" l="1"/>
  <c r="O53" i="6"/>
  <c r="O10" i="6" s="1"/>
  <c r="N10" i="6"/>
  <c r="P10" i="6" l="1"/>
  <c r="D70" i="5" l="1"/>
  <c r="D68" i="5"/>
  <c r="D66" i="5"/>
  <c r="D65" i="5"/>
  <c r="D62" i="5"/>
  <c r="T54" i="5"/>
  <c r="D53" i="5" s="1"/>
  <c r="D8" i="5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D6" i="5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E9" i="5"/>
  <c r="F9" i="5"/>
  <c r="G9" i="5"/>
  <c r="H9" i="5"/>
  <c r="I9" i="5"/>
  <c r="J9" i="5"/>
  <c r="K9" i="5"/>
  <c r="L9" i="5"/>
  <c r="M9" i="5"/>
  <c r="N9" i="5"/>
  <c r="O9" i="5"/>
  <c r="D9" i="5"/>
  <c r="N15" i="5"/>
  <c r="N14" i="5"/>
  <c r="N13" i="5"/>
  <c r="K15" i="5"/>
  <c r="K14" i="5"/>
  <c r="K13" i="5"/>
  <c r="H15" i="5"/>
  <c r="H14" i="5"/>
  <c r="H13" i="5"/>
  <c r="E14" i="5"/>
  <c r="E15" i="5"/>
  <c r="E13" i="5"/>
  <c r="E41" i="5"/>
  <c r="F41" i="5" s="1"/>
  <c r="G41" i="5" s="1"/>
  <c r="H41" i="5" s="1"/>
  <c r="I41" i="5" s="1"/>
  <c r="J41" i="5" s="1"/>
  <c r="K41" i="5" s="1"/>
  <c r="L41" i="5" s="1"/>
  <c r="M41" i="5" s="1"/>
  <c r="N41" i="5" s="1"/>
  <c r="O41" i="5" s="1"/>
  <c r="E28" i="5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E29" i="5"/>
  <c r="F29" i="5" s="1"/>
  <c r="G29" i="5" s="1"/>
  <c r="H29" i="5" s="1"/>
  <c r="I29" i="5" s="1"/>
  <c r="J29" i="5" s="1"/>
  <c r="K29" i="5" s="1"/>
  <c r="L29" i="5" s="1"/>
  <c r="M29" i="5" s="1"/>
  <c r="N29" i="5" s="1"/>
  <c r="O29" i="5" s="1"/>
  <c r="D13" i="4" l="1"/>
  <c r="E42" i="5"/>
  <c r="F42" i="5" s="1"/>
  <c r="G42" i="5" s="1"/>
  <c r="H42" i="5" s="1"/>
  <c r="I42" i="5" s="1"/>
  <c r="J42" i="5" s="1"/>
  <c r="K42" i="5" s="1"/>
  <c r="L42" i="5" s="1"/>
  <c r="M42" i="5" s="1"/>
  <c r="N42" i="5" s="1"/>
  <c r="O42" i="5" s="1"/>
  <c r="E40" i="5"/>
  <c r="F40" i="5" s="1"/>
  <c r="G40" i="5" s="1"/>
  <c r="H40" i="5" s="1"/>
  <c r="I40" i="5" s="1"/>
  <c r="J40" i="5" s="1"/>
  <c r="K40" i="5" s="1"/>
  <c r="L40" i="5" s="1"/>
  <c r="M40" i="5" s="1"/>
  <c r="N40" i="5" s="1"/>
  <c r="O40" i="5" s="1"/>
  <c r="U79" i="6" l="1"/>
  <c r="T78" i="6"/>
  <c r="U78" i="6" s="1"/>
  <c r="U63" i="5"/>
  <c r="T62" i="5"/>
  <c r="U62" i="5" s="1"/>
  <c r="U65" i="5" l="1"/>
  <c r="U81" i="6"/>
  <c r="D18" i="6"/>
  <c r="E40" i="6"/>
  <c r="F40" i="6" s="1"/>
  <c r="G40" i="6" s="1"/>
  <c r="H40" i="6" s="1"/>
  <c r="I40" i="6" s="1"/>
  <c r="D25" i="4"/>
  <c r="D27" i="4"/>
  <c r="D28" i="4"/>
  <c r="D29" i="4"/>
  <c r="D30" i="4"/>
  <c r="D31" i="4"/>
  <c r="D32" i="4"/>
  <c r="D33" i="4"/>
  <c r="D40" i="4"/>
  <c r="D26" i="4"/>
  <c r="D27" i="7"/>
  <c r="D32" i="7"/>
  <c r="D33" i="7"/>
  <c r="D37" i="7"/>
  <c r="D25" i="7"/>
  <c r="D89" i="6"/>
  <c r="D34" i="7" s="1"/>
  <c r="D26" i="7"/>
  <c r="E18" i="6" l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E60" i="6"/>
  <c r="F60" i="6" s="1"/>
  <c r="G60" i="6" s="1"/>
  <c r="H60" i="6" s="1"/>
  <c r="I60" i="6" s="1"/>
  <c r="J60" i="6" s="1"/>
  <c r="K60" i="6" s="1"/>
  <c r="L60" i="6" s="1"/>
  <c r="M60" i="6" s="1"/>
  <c r="N60" i="6" s="1"/>
  <c r="O60" i="6" s="1"/>
  <c r="J40" i="6"/>
  <c r="D43" i="7"/>
  <c r="D36" i="6"/>
  <c r="K40" i="6" l="1"/>
  <c r="L40" i="6" l="1"/>
  <c r="M40" i="6" l="1"/>
  <c r="N40" i="6" l="1"/>
  <c r="O40" i="6" l="1"/>
  <c r="P40" i="6" l="1"/>
  <c r="P18" i="6"/>
  <c r="K86" i="6" l="1"/>
  <c r="P27" i="6" l="1"/>
  <c r="P4" i="6" l="1"/>
  <c r="P3" i="6" s="1"/>
  <c r="D3" i="6" l="1"/>
  <c r="E59" i="6"/>
  <c r="F59" i="6" s="1"/>
  <c r="G59" i="6" s="1"/>
  <c r="H59" i="6" s="1"/>
  <c r="I59" i="6" s="1"/>
  <c r="J59" i="6" s="1"/>
  <c r="K59" i="6" s="1"/>
  <c r="L59" i="6" s="1"/>
  <c r="M59" i="6" s="1"/>
  <c r="N59" i="6" s="1"/>
  <c r="O59" i="6" s="1"/>
  <c r="E58" i="6"/>
  <c r="F58" i="6" s="1"/>
  <c r="G58" i="6" s="1"/>
  <c r="H58" i="6" s="1"/>
  <c r="I58" i="6" s="1"/>
  <c r="J58" i="6" s="1"/>
  <c r="K58" i="6" s="1"/>
  <c r="L58" i="6" s="1"/>
  <c r="M58" i="6" s="1"/>
  <c r="N58" i="6" s="1"/>
  <c r="O58" i="6" s="1"/>
  <c r="E57" i="6"/>
  <c r="F57" i="6" s="1"/>
  <c r="G57" i="6" s="1"/>
  <c r="H57" i="6" s="1"/>
  <c r="I57" i="6" s="1"/>
  <c r="J57" i="6" s="1"/>
  <c r="K57" i="6" s="1"/>
  <c r="L57" i="6" s="1"/>
  <c r="M57" i="6" s="1"/>
  <c r="N57" i="6" s="1"/>
  <c r="O57" i="6" s="1"/>
  <c r="E39" i="6"/>
  <c r="E38" i="6"/>
  <c r="E37" i="6"/>
  <c r="E36" i="6" l="1"/>
  <c r="F38" i="6"/>
  <c r="G38" i="6" s="1"/>
  <c r="H38" i="6" s="1"/>
  <c r="I38" i="6" s="1"/>
  <c r="J38" i="6" s="1"/>
  <c r="K38" i="6" s="1"/>
  <c r="L38" i="6" s="1"/>
  <c r="M38" i="6" s="1"/>
  <c r="N38" i="6" s="1"/>
  <c r="O38" i="6" s="1"/>
  <c r="F37" i="6"/>
  <c r="F39" i="6"/>
  <c r="G39" i="6" s="1"/>
  <c r="H39" i="6" s="1"/>
  <c r="I39" i="6" s="1"/>
  <c r="J39" i="6" s="1"/>
  <c r="K39" i="6" s="1"/>
  <c r="L39" i="6" s="1"/>
  <c r="M39" i="6" s="1"/>
  <c r="N39" i="6" s="1"/>
  <c r="O39" i="6" s="1"/>
  <c r="F36" i="6" l="1"/>
  <c r="P39" i="6"/>
  <c r="P38" i="6"/>
  <c r="G37" i="6"/>
  <c r="G36" i="6" s="1"/>
  <c r="H37" i="6" l="1"/>
  <c r="H36" i="6" s="1"/>
  <c r="I37" i="6" l="1"/>
  <c r="I36" i="6" s="1"/>
  <c r="J37" i="6" l="1"/>
  <c r="J36" i="6" s="1"/>
  <c r="K37" i="6" l="1"/>
  <c r="K36" i="6" s="1"/>
  <c r="L37" i="6" l="1"/>
  <c r="L36" i="6" s="1"/>
  <c r="M37" i="6" l="1"/>
  <c r="M36" i="6" s="1"/>
  <c r="N37" i="6" l="1"/>
  <c r="N36" i="6" s="1"/>
  <c r="O37" i="6" l="1"/>
  <c r="O36" i="6" s="1"/>
  <c r="P37" i="6" l="1"/>
  <c r="P36" i="6" s="1"/>
  <c r="P28" i="6"/>
  <c r="P26" i="6" s="1"/>
  <c r="E40" i="4" l="1"/>
  <c r="F40" i="4" s="1"/>
  <c r="G40" i="4" s="1"/>
  <c r="H40" i="4" s="1"/>
  <c r="I40" i="4" s="1"/>
  <c r="J40" i="4" s="1"/>
  <c r="K40" i="4" s="1"/>
  <c r="L40" i="4" s="1"/>
  <c r="M40" i="4" s="1"/>
  <c r="N40" i="4" s="1"/>
  <c r="O40" i="4" s="1"/>
  <c r="P40" i="4" l="1"/>
  <c r="Q40" i="4" s="1"/>
  <c r="R40" i="4" s="1"/>
  <c r="S40" i="4" s="1"/>
  <c r="T40" i="4" s="1"/>
  <c r="E25" i="4" l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E26" i="4"/>
  <c r="F26" i="4" s="1"/>
  <c r="G26" i="4" s="1"/>
  <c r="H26" i="4" s="1"/>
  <c r="I26" i="4" s="1"/>
  <c r="J26" i="4" s="1"/>
  <c r="K26" i="4" s="1"/>
  <c r="L26" i="4" s="1"/>
  <c r="M26" i="4" s="1"/>
  <c r="N26" i="4" s="1"/>
  <c r="O26" i="4" s="1"/>
  <c r="E27" i="4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E28" i="4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E29" i="4"/>
  <c r="F29" i="4" s="1"/>
  <c r="G29" i="4" s="1"/>
  <c r="H29" i="4" s="1"/>
  <c r="I29" i="4" s="1"/>
  <c r="J29" i="4" s="1"/>
  <c r="K29" i="4" s="1"/>
  <c r="L29" i="4" s="1"/>
  <c r="M29" i="4" s="1"/>
  <c r="N29" i="4" s="1"/>
  <c r="O29" i="4" s="1"/>
  <c r="E30" i="4"/>
  <c r="F30" i="4" s="1"/>
  <c r="G30" i="4" s="1"/>
  <c r="H30" i="4" s="1"/>
  <c r="I30" i="4" s="1"/>
  <c r="J30" i="4" s="1"/>
  <c r="K30" i="4" s="1"/>
  <c r="L30" i="4" s="1"/>
  <c r="M30" i="4" s="1"/>
  <c r="N30" i="4" s="1"/>
  <c r="O30" i="4" s="1"/>
  <c r="E31" i="4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E32" i="4"/>
  <c r="F32" i="4" s="1"/>
  <c r="G32" i="4" s="1"/>
  <c r="H32" i="4" s="1"/>
  <c r="I32" i="4" s="1"/>
  <c r="J32" i="4" s="1"/>
  <c r="K32" i="4" s="1"/>
  <c r="L32" i="4" s="1"/>
  <c r="M32" i="4" s="1"/>
  <c r="N32" i="4" s="1"/>
  <c r="O32" i="4" s="1"/>
  <c r="E33" i="4"/>
  <c r="F33" i="4" s="1"/>
  <c r="G33" i="4" s="1"/>
  <c r="H33" i="4" s="1"/>
  <c r="I33" i="4" s="1"/>
  <c r="J33" i="4" s="1"/>
  <c r="K33" i="4" s="1"/>
  <c r="L33" i="4" s="1"/>
  <c r="M33" i="4" s="1"/>
  <c r="N33" i="4" s="1"/>
  <c r="O33" i="4" s="1"/>
  <c r="E16" i="6"/>
  <c r="D15" i="6"/>
  <c r="D17" i="6"/>
  <c r="D16" i="6"/>
  <c r="D14" i="6" l="1"/>
  <c r="E17" i="6"/>
  <c r="F17" i="6"/>
  <c r="E15" i="6"/>
  <c r="G17" i="6"/>
  <c r="E14" i="6" l="1"/>
  <c r="D23" i="6"/>
  <c r="F15" i="6"/>
  <c r="E3" i="6"/>
  <c r="H16" i="6"/>
  <c r="G16" i="6"/>
  <c r="F16" i="6"/>
  <c r="H17" i="6"/>
  <c r="I16" i="6"/>
  <c r="D6" i="7"/>
  <c r="G15" i="6" l="1"/>
  <c r="G14" i="6" s="1"/>
  <c r="F14" i="6"/>
  <c r="E6" i="7"/>
  <c r="E23" i="6"/>
  <c r="F3" i="6"/>
  <c r="E7" i="7"/>
  <c r="I17" i="6"/>
  <c r="D7" i="7"/>
  <c r="G3" i="6"/>
  <c r="J16" i="6"/>
  <c r="D9" i="7" l="1"/>
  <c r="H15" i="6"/>
  <c r="H14" i="6" s="1"/>
  <c r="E9" i="7"/>
  <c r="F6" i="7"/>
  <c r="F23" i="6"/>
  <c r="G6" i="7"/>
  <c r="G23" i="6"/>
  <c r="K16" i="6"/>
  <c r="H3" i="6"/>
  <c r="J17" i="6"/>
  <c r="I15" i="6" l="1"/>
  <c r="I14" i="6" s="1"/>
  <c r="H6" i="7"/>
  <c r="H23" i="6"/>
  <c r="G7" i="7"/>
  <c r="G9" i="7" s="1"/>
  <c r="K17" i="6"/>
  <c r="L16" i="6"/>
  <c r="I3" i="6"/>
  <c r="F7" i="7"/>
  <c r="I23" i="6" l="1"/>
  <c r="J15" i="6"/>
  <c r="J14" i="6" s="1"/>
  <c r="H7" i="7"/>
  <c r="H9" i="7" s="1"/>
  <c r="L17" i="6"/>
  <c r="F9" i="7"/>
  <c r="I6" i="7"/>
  <c r="M16" i="6"/>
  <c r="J3" i="6"/>
  <c r="K15" i="6" l="1"/>
  <c r="K14" i="6" s="1"/>
  <c r="J6" i="7"/>
  <c r="J23" i="6"/>
  <c r="N16" i="6"/>
  <c r="O16" i="6"/>
  <c r="K3" i="6"/>
  <c r="M17" i="6"/>
  <c r="I7" i="7"/>
  <c r="L15" i="6" l="1"/>
  <c r="L14" i="6" s="1"/>
  <c r="K6" i="7"/>
  <c r="K23" i="6"/>
  <c r="P16" i="6"/>
  <c r="J7" i="7"/>
  <c r="J9" i="7" s="1"/>
  <c r="N17" i="6"/>
  <c r="O17" i="6"/>
  <c r="L3" i="6"/>
  <c r="I9" i="7"/>
  <c r="M15" i="6" l="1"/>
  <c r="M14" i="6" s="1"/>
  <c r="L6" i="7"/>
  <c r="L23" i="6"/>
  <c r="P17" i="6"/>
  <c r="O65" i="6" s="1"/>
  <c r="O66" i="6" s="1"/>
  <c r="K7" i="7"/>
  <c r="K9" i="7" s="1"/>
  <c r="M3" i="6"/>
  <c r="N15" i="6" l="1"/>
  <c r="N14" i="6" s="1"/>
  <c r="M6" i="7"/>
  <c r="M23" i="6"/>
  <c r="L7" i="7"/>
  <c r="L9" i="7" s="1"/>
  <c r="N3" i="6"/>
  <c r="O15" i="6" l="1"/>
  <c r="O14" i="6" s="1"/>
  <c r="N6" i="7"/>
  <c r="N23" i="6"/>
  <c r="M7" i="7"/>
  <c r="M9" i="7" s="1"/>
  <c r="O3" i="6"/>
  <c r="P15" i="6" l="1"/>
  <c r="P14" i="6" s="1"/>
  <c r="O23" i="6"/>
  <c r="N7" i="7"/>
  <c r="N9" i="7" s="1"/>
  <c r="O6" i="7"/>
  <c r="P23" i="6" l="1"/>
  <c r="D71" i="6" s="1"/>
  <c r="O7" i="7"/>
  <c r="P7" i="7" s="1"/>
  <c r="Q7" i="7" s="1"/>
  <c r="R7" i="7" s="1"/>
  <c r="S7" i="7" s="1"/>
  <c r="T7" i="7" s="1"/>
  <c r="P6" i="7"/>
  <c r="D12" i="7" l="1"/>
  <c r="I71" i="6"/>
  <c r="D78" i="6"/>
  <c r="O9" i="7"/>
  <c r="Q6" i="7"/>
  <c r="P9" i="7"/>
  <c r="D23" i="7" l="1"/>
  <c r="E23" i="7" s="1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D77" i="6"/>
  <c r="D22" i="7" s="1"/>
  <c r="D73" i="6"/>
  <c r="D14" i="7" s="1"/>
  <c r="E14" i="7" s="1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D74" i="6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D13" i="7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D30" i="7"/>
  <c r="E30" i="7" s="1"/>
  <c r="F30" i="7" s="1"/>
  <c r="G30" i="7" s="1"/>
  <c r="H30" i="7" s="1"/>
  <c r="I30" i="7" s="1"/>
  <c r="J30" i="7" s="1"/>
  <c r="K30" i="7" s="1"/>
  <c r="L30" i="7" s="1"/>
  <c r="M30" i="7" s="1"/>
  <c r="N30" i="7" s="1"/>
  <c r="O30" i="7" s="1"/>
  <c r="D29" i="7"/>
  <c r="E29" i="7" s="1"/>
  <c r="F29" i="7" s="1"/>
  <c r="G29" i="7" s="1"/>
  <c r="H29" i="7" s="1"/>
  <c r="I29" i="7" s="1"/>
  <c r="J29" i="7" s="1"/>
  <c r="K29" i="7" s="1"/>
  <c r="L29" i="7" s="1"/>
  <c r="M29" i="7" s="1"/>
  <c r="N29" i="7" s="1"/>
  <c r="O29" i="7" s="1"/>
  <c r="E12" i="7"/>
  <c r="D79" i="6"/>
  <c r="D24" i="7" s="1"/>
  <c r="E24" i="7" s="1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E27" i="7"/>
  <c r="F27" i="7" s="1"/>
  <c r="G27" i="7" s="1"/>
  <c r="H27" i="7" s="1"/>
  <c r="I27" i="7" s="1"/>
  <c r="J27" i="7" s="1"/>
  <c r="K27" i="7" s="1"/>
  <c r="L27" i="7" s="1"/>
  <c r="M27" i="7" s="1"/>
  <c r="N27" i="7" s="1"/>
  <c r="O27" i="7" s="1"/>
  <c r="D83" i="6"/>
  <c r="E25" i="7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E32" i="7"/>
  <c r="F32" i="7" s="1"/>
  <c r="G32" i="7" s="1"/>
  <c r="H32" i="7" s="1"/>
  <c r="I32" i="7" s="1"/>
  <c r="J32" i="7" s="1"/>
  <c r="K32" i="7" s="1"/>
  <c r="L32" i="7" s="1"/>
  <c r="M32" i="7" s="1"/>
  <c r="N32" i="7" s="1"/>
  <c r="O32" i="7" s="1"/>
  <c r="D86" i="6"/>
  <c r="E26" i="7"/>
  <c r="F26" i="7" s="1"/>
  <c r="G26" i="7" s="1"/>
  <c r="H26" i="7" s="1"/>
  <c r="I26" i="7" s="1"/>
  <c r="J26" i="7" s="1"/>
  <c r="K26" i="7" s="1"/>
  <c r="L26" i="7" s="1"/>
  <c r="M26" i="7" s="1"/>
  <c r="N26" i="7" s="1"/>
  <c r="O26" i="7" s="1"/>
  <c r="E43" i="7"/>
  <c r="F43" i="7" s="1"/>
  <c r="G43" i="7" s="1"/>
  <c r="H43" i="7" s="1"/>
  <c r="I43" i="7" s="1"/>
  <c r="J43" i="7" s="1"/>
  <c r="K43" i="7" s="1"/>
  <c r="L43" i="7" s="1"/>
  <c r="M43" i="7" s="1"/>
  <c r="N43" i="7" s="1"/>
  <c r="O43" i="7" s="1"/>
  <c r="E34" i="7"/>
  <c r="F34" i="7" s="1"/>
  <c r="G34" i="7" s="1"/>
  <c r="H34" i="7" s="1"/>
  <c r="I34" i="7" s="1"/>
  <c r="J34" i="7" s="1"/>
  <c r="K34" i="7" s="1"/>
  <c r="L34" i="7" s="1"/>
  <c r="M34" i="7" s="1"/>
  <c r="N34" i="7" s="1"/>
  <c r="O34" i="7" s="1"/>
  <c r="R6" i="7"/>
  <c r="Q9" i="7"/>
  <c r="E22" i="7" l="1"/>
  <c r="F22" i="7" s="1"/>
  <c r="D31" i="7"/>
  <c r="E31" i="7" s="1"/>
  <c r="F31" i="7" s="1"/>
  <c r="G31" i="7" s="1"/>
  <c r="H31" i="7" s="1"/>
  <c r="I31" i="7" s="1"/>
  <c r="J31" i="7" s="1"/>
  <c r="K31" i="7" s="1"/>
  <c r="L31" i="7" s="1"/>
  <c r="M31" i="7" s="1"/>
  <c r="N31" i="7" s="1"/>
  <c r="O31" i="7" s="1"/>
  <c r="D28" i="7"/>
  <c r="E37" i="7"/>
  <c r="F37" i="7" s="1"/>
  <c r="G37" i="7" s="1"/>
  <c r="H37" i="7" s="1"/>
  <c r="I37" i="7" s="1"/>
  <c r="J37" i="7" s="1"/>
  <c r="K37" i="7" s="1"/>
  <c r="L37" i="7" s="1"/>
  <c r="M37" i="7" s="1"/>
  <c r="N37" i="7" s="1"/>
  <c r="O37" i="7" s="1"/>
  <c r="D17" i="7"/>
  <c r="P25" i="7"/>
  <c r="Q25" i="7" s="1"/>
  <c r="R25" i="7" s="1"/>
  <c r="S25" i="7" s="1"/>
  <c r="T25" i="7" s="1"/>
  <c r="P27" i="7"/>
  <c r="Q27" i="7" s="1"/>
  <c r="R27" i="7" s="1"/>
  <c r="S27" i="7" s="1"/>
  <c r="T27" i="7" s="1"/>
  <c r="P29" i="7"/>
  <c r="Q29" i="7" s="1"/>
  <c r="R29" i="7" s="1"/>
  <c r="S29" i="7" s="1"/>
  <c r="T29" i="7" s="1"/>
  <c r="P32" i="7"/>
  <c r="Q32" i="7" s="1"/>
  <c r="R32" i="7" s="1"/>
  <c r="S32" i="7" s="1"/>
  <c r="T32" i="7" s="1"/>
  <c r="P30" i="7"/>
  <c r="Q30" i="7" s="1"/>
  <c r="R30" i="7" s="1"/>
  <c r="S30" i="7" s="1"/>
  <c r="T30" i="7" s="1"/>
  <c r="P26" i="7"/>
  <c r="Q26" i="7" s="1"/>
  <c r="R26" i="7" s="1"/>
  <c r="S26" i="7" s="1"/>
  <c r="T26" i="7" s="1"/>
  <c r="P43" i="7"/>
  <c r="Q43" i="7" s="1"/>
  <c r="R43" i="7" s="1"/>
  <c r="S43" i="7" s="1"/>
  <c r="T43" i="7" s="1"/>
  <c r="E33" i="7"/>
  <c r="F33" i="7" s="1"/>
  <c r="G33" i="7" s="1"/>
  <c r="H33" i="7" s="1"/>
  <c r="I33" i="7" s="1"/>
  <c r="J33" i="7" s="1"/>
  <c r="K33" i="7" s="1"/>
  <c r="L33" i="7" s="1"/>
  <c r="M33" i="7" s="1"/>
  <c r="N33" i="7" s="1"/>
  <c r="O33" i="7" s="1"/>
  <c r="P34" i="7"/>
  <c r="P14" i="7"/>
  <c r="Q14" i="7" s="1"/>
  <c r="R14" i="7" s="1"/>
  <c r="S14" i="7" s="1"/>
  <c r="T14" i="7" s="1"/>
  <c r="P13" i="7"/>
  <c r="Q13" i="7" s="1"/>
  <c r="R13" i="7" s="1"/>
  <c r="S13" i="7" s="1"/>
  <c r="T13" i="7" s="1"/>
  <c r="P24" i="7"/>
  <c r="Q24" i="7" s="1"/>
  <c r="R24" i="7" s="1"/>
  <c r="S24" i="7" s="1"/>
  <c r="T24" i="7" s="1"/>
  <c r="E17" i="7"/>
  <c r="E19" i="7" s="1"/>
  <c r="F12" i="7"/>
  <c r="S6" i="7"/>
  <c r="R9" i="7"/>
  <c r="P23" i="7"/>
  <c r="Q23" i="7" s="1"/>
  <c r="P15" i="7"/>
  <c r="D19" i="7" l="1"/>
  <c r="D39" i="7"/>
  <c r="Q34" i="7"/>
  <c r="R34" i="7" s="1"/>
  <c r="S34" i="7" s="1"/>
  <c r="T34" i="7" s="1"/>
  <c r="R17" i="7"/>
  <c r="R19" i="7" s="1"/>
  <c r="Q17" i="7"/>
  <c r="Q19" i="7" s="1"/>
  <c r="P37" i="7"/>
  <c r="Q37" i="7" s="1"/>
  <c r="R37" i="7" s="1"/>
  <c r="S37" i="7" s="1"/>
  <c r="T37" i="7" s="1"/>
  <c r="P31" i="7"/>
  <c r="Q31" i="7" s="1"/>
  <c r="R31" i="7" s="1"/>
  <c r="S31" i="7" s="1"/>
  <c r="T31" i="7" s="1"/>
  <c r="E28" i="7"/>
  <c r="F28" i="7" s="1"/>
  <c r="G28" i="7" s="1"/>
  <c r="H28" i="7" s="1"/>
  <c r="I28" i="7" s="1"/>
  <c r="J28" i="7" s="1"/>
  <c r="K28" i="7" s="1"/>
  <c r="L28" i="7" s="1"/>
  <c r="M28" i="7" s="1"/>
  <c r="N28" i="7" s="1"/>
  <c r="O28" i="7" s="1"/>
  <c r="P33" i="7"/>
  <c r="R23" i="7"/>
  <c r="G22" i="7"/>
  <c r="S17" i="7"/>
  <c r="G12" i="7"/>
  <c r="F17" i="7"/>
  <c r="F19" i="7" s="1"/>
  <c r="T6" i="7"/>
  <c r="T9" i="7" s="1"/>
  <c r="S9" i="7"/>
  <c r="D41" i="7" l="1"/>
  <c r="D45" i="7" s="1"/>
  <c r="D47" i="7" s="1"/>
  <c r="D51" i="7" s="1"/>
  <c r="G39" i="7"/>
  <c r="E39" i="7"/>
  <c r="E41" i="7" s="1"/>
  <c r="E45" i="7" s="1"/>
  <c r="F39" i="7"/>
  <c r="F41" i="7" s="1"/>
  <c r="F45" i="7" s="1"/>
  <c r="Q33" i="7"/>
  <c r="R33" i="7" s="1"/>
  <c r="S33" i="7" s="1"/>
  <c r="T33" i="7" s="1"/>
  <c r="P28" i="7"/>
  <c r="S23" i="7"/>
  <c r="G17" i="7"/>
  <c r="G19" i="7" s="1"/>
  <c r="H12" i="7"/>
  <c r="S19" i="7"/>
  <c r="T17" i="7"/>
  <c r="T19" i="7" s="1"/>
  <c r="H22" i="7"/>
  <c r="H39" i="7" s="1"/>
  <c r="E47" i="7" l="1"/>
  <c r="E51" i="7" s="1"/>
  <c r="Q28" i="7"/>
  <c r="R28" i="7" s="1"/>
  <c r="G41" i="7"/>
  <c r="G45" i="7" s="1"/>
  <c r="T23" i="7"/>
  <c r="I12" i="7"/>
  <c r="H17" i="7"/>
  <c r="H19" i="7" s="1"/>
  <c r="I22" i="7"/>
  <c r="I39" i="7" s="1"/>
  <c r="F47" i="7" l="1"/>
  <c r="F51" i="7" s="1"/>
  <c r="S28" i="7"/>
  <c r="J22" i="7"/>
  <c r="J39" i="7" s="1"/>
  <c r="H41" i="7"/>
  <c r="H45" i="7" s="1"/>
  <c r="J12" i="7"/>
  <c r="I17" i="7"/>
  <c r="I19" i="7" s="1"/>
  <c r="G47" i="7" l="1"/>
  <c r="G51" i="7" s="1"/>
  <c r="T28" i="7"/>
  <c r="I41" i="7"/>
  <c r="I45" i="7" s="1"/>
  <c r="K12" i="7"/>
  <c r="J17" i="7"/>
  <c r="J19" i="7" s="1"/>
  <c r="K22" i="7"/>
  <c r="K39" i="7" s="1"/>
  <c r="H47" i="7" l="1"/>
  <c r="H51" i="7" s="1"/>
  <c r="L22" i="7"/>
  <c r="L39" i="7" s="1"/>
  <c r="L12" i="7"/>
  <c r="K17" i="7"/>
  <c r="K19" i="7" s="1"/>
  <c r="J41" i="7"/>
  <c r="J45" i="7" s="1"/>
  <c r="I47" i="7" l="1"/>
  <c r="I51" i="7" s="1"/>
  <c r="K41" i="7"/>
  <c r="K45" i="7" s="1"/>
  <c r="M12" i="7"/>
  <c r="L17" i="7"/>
  <c r="L19" i="7" s="1"/>
  <c r="M22" i="7"/>
  <c r="M39" i="7" s="1"/>
  <c r="J47" i="7" l="1"/>
  <c r="J51" i="7" s="1"/>
  <c r="N22" i="7"/>
  <c r="N39" i="7" s="1"/>
  <c r="L41" i="7"/>
  <c r="L45" i="7" s="1"/>
  <c r="M17" i="7"/>
  <c r="M19" i="7" s="1"/>
  <c r="N12" i="7"/>
  <c r="K47" i="7" l="1"/>
  <c r="K51" i="7" s="1"/>
  <c r="M41" i="7"/>
  <c r="M45" i="7" s="1"/>
  <c r="O12" i="7"/>
  <c r="N17" i="7"/>
  <c r="N19" i="7" s="1"/>
  <c r="O22" i="7"/>
  <c r="O39" i="7" s="1"/>
  <c r="L47" i="7" l="1"/>
  <c r="L51" i="7" s="1"/>
  <c r="P22" i="7"/>
  <c r="P39" i="7" s="1"/>
  <c r="N41" i="7"/>
  <c r="N45" i="7" s="1"/>
  <c r="O17" i="7"/>
  <c r="O19" i="7" s="1"/>
  <c r="P12" i="7"/>
  <c r="M47" i="7" l="1"/>
  <c r="M51" i="7" s="1"/>
  <c r="P17" i="7"/>
  <c r="P19" i="7" s="1"/>
  <c r="P41" i="7" s="1"/>
  <c r="P45" i="7" s="1"/>
  <c r="P47" i="7" s="1"/>
  <c r="O41" i="7"/>
  <c r="O45" i="7" s="1"/>
  <c r="Q22" i="7"/>
  <c r="N47" i="7" l="1"/>
  <c r="N51" i="7" s="1"/>
  <c r="R22" i="7"/>
  <c r="Q39" i="7"/>
  <c r="Q41" i="7" s="1"/>
  <c r="Q45" i="7" s="1"/>
  <c r="P51" i="7"/>
  <c r="P53" i="7" s="1"/>
  <c r="O47" i="7" l="1"/>
  <c r="O51" i="7" s="1"/>
  <c r="Q47" i="7"/>
  <c r="Q51" i="7" s="1"/>
  <c r="Q53" i="7" s="1"/>
  <c r="S22" i="7"/>
  <c r="R39" i="7"/>
  <c r="R41" i="7" s="1"/>
  <c r="R45" i="7" s="1"/>
  <c r="R47" i="7" l="1"/>
  <c r="R51" i="7" s="1"/>
  <c r="R53" i="7" s="1"/>
  <c r="T22" i="7"/>
  <c r="T39" i="7" s="1"/>
  <c r="T41" i="7" s="1"/>
  <c r="T45" i="7" s="1"/>
  <c r="S39" i="7"/>
  <c r="S41" i="7" s="1"/>
  <c r="S45" i="7" s="1"/>
  <c r="S47" i="7" l="1"/>
  <c r="S51" i="7" s="1"/>
  <c r="S53" i="7" s="1"/>
  <c r="T47" i="7" l="1"/>
  <c r="T51" i="7" s="1"/>
  <c r="T53" i="7" s="1"/>
  <c r="B7" i="4"/>
  <c r="E21" i="5" l="1"/>
  <c r="E24" i="5"/>
  <c r="F24" i="5" s="1"/>
  <c r="G24" i="5" s="1"/>
  <c r="H24" i="5" s="1"/>
  <c r="E37" i="5"/>
  <c r="F37" i="5" s="1"/>
  <c r="G37" i="5" s="1"/>
  <c r="E36" i="5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E23" i="5"/>
  <c r="F23" i="5" s="1"/>
  <c r="P27" i="5"/>
  <c r="E22" i="5"/>
  <c r="E35" i="5"/>
  <c r="F35" i="5" s="1"/>
  <c r="G35" i="5" s="1"/>
  <c r="H35" i="5" s="1"/>
  <c r="I35" i="5" s="1"/>
  <c r="J35" i="5" s="1"/>
  <c r="K35" i="5" s="1"/>
  <c r="L35" i="5" s="1"/>
  <c r="M35" i="5" s="1"/>
  <c r="N35" i="5" s="1"/>
  <c r="O35" i="5" s="1"/>
  <c r="F21" i="5" l="1"/>
  <c r="G21" i="5" s="1"/>
  <c r="H21" i="5" s="1"/>
  <c r="I21" i="5" s="1"/>
  <c r="J21" i="5" s="1"/>
  <c r="K21" i="5" s="1"/>
  <c r="L21" i="5" s="1"/>
  <c r="M21" i="5" s="1"/>
  <c r="N21" i="5" s="1"/>
  <c r="O21" i="5" s="1"/>
  <c r="P28" i="4"/>
  <c r="Q28" i="4" s="1"/>
  <c r="R28" i="4" s="1"/>
  <c r="S28" i="4" s="1"/>
  <c r="T28" i="4" s="1"/>
  <c r="P32" i="4"/>
  <c r="Q32" i="4" s="1"/>
  <c r="R32" i="4" s="1"/>
  <c r="S32" i="4" s="1"/>
  <c r="T32" i="4" s="1"/>
  <c r="D12" i="5"/>
  <c r="P28" i="5"/>
  <c r="I24" i="5"/>
  <c r="J24" i="5" s="1"/>
  <c r="K24" i="5" s="1"/>
  <c r="L24" i="5" s="1"/>
  <c r="M24" i="5" s="1"/>
  <c r="N24" i="5" s="1"/>
  <c r="O24" i="5" s="1"/>
  <c r="H37" i="5"/>
  <c r="G23" i="5"/>
  <c r="H23" i="5" s="1"/>
  <c r="I23" i="5" s="1"/>
  <c r="J23" i="5" s="1"/>
  <c r="K23" i="5" s="1"/>
  <c r="L23" i="5" s="1"/>
  <c r="M23" i="5" s="1"/>
  <c r="N23" i="5" s="1"/>
  <c r="O23" i="5" s="1"/>
  <c r="F22" i="5"/>
  <c r="D7" i="5"/>
  <c r="F12" i="5" l="1"/>
  <c r="P30" i="4"/>
  <c r="Q30" i="4" s="1"/>
  <c r="R30" i="4" s="1"/>
  <c r="S30" i="4" s="1"/>
  <c r="T30" i="4" s="1"/>
  <c r="P31" i="4"/>
  <c r="Q31" i="4" s="1"/>
  <c r="R31" i="4" s="1"/>
  <c r="S31" i="4" s="1"/>
  <c r="T31" i="4" s="1"/>
  <c r="P25" i="4"/>
  <c r="P27" i="4"/>
  <c r="P26" i="4"/>
  <c r="P33" i="4"/>
  <c r="Q33" i="4" s="1"/>
  <c r="R33" i="4" s="1"/>
  <c r="S33" i="4" s="1"/>
  <c r="T33" i="4" s="1"/>
  <c r="P29" i="4"/>
  <c r="Q29" i="4" s="1"/>
  <c r="R29" i="4" s="1"/>
  <c r="S29" i="4" s="1"/>
  <c r="T29" i="4" s="1"/>
  <c r="E12" i="5"/>
  <c r="I37" i="5"/>
  <c r="E7" i="5"/>
  <c r="F7" i="5" s="1"/>
  <c r="G7" i="5" s="1"/>
  <c r="H7" i="5" s="1"/>
  <c r="I7" i="5" s="1"/>
  <c r="J7" i="5" s="1"/>
  <c r="K7" i="5" s="1"/>
  <c r="L7" i="5" s="1"/>
  <c r="M7" i="5" s="1"/>
  <c r="N7" i="5" s="1"/>
  <c r="O7" i="5" s="1"/>
  <c r="G22" i="5"/>
  <c r="P7" i="5" l="1"/>
  <c r="G12" i="5"/>
  <c r="J37" i="5"/>
  <c r="H22" i="5"/>
  <c r="D5" i="5"/>
  <c r="B6" i="4"/>
  <c r="H12" i="5" l="1"/>
  <c r="K37" i="5"/>
  <c r="I22" i="5"/>
  <c r="E5" i="5"/>
  <c r="E6" i="4" s="1"/>
  <c r="D6" i="4"/>
  <c r="I12" i="5" l="1"/>
  <c r="L37" i="5"/>
  <c r="J22" i="5"/>
  <c r="J12" i="5" l="1"/>
  <c r="M37" i="5"/>
  <c r="K22" i="5"/>
  <c r="F5" i="5"/>
  <c r="Q26" i="4"/>
  <c r="R26" i="4" s="1"/>
  <c r="S26" i="4" s="1"/>
  <c r="T26" i="4" s="1"/>
  <c r="Q27" i="4"/>
  <c r="R27" i="4" s="1"/>
  <c r="S27" i="4" s="1"/>
  <c r="T27" i="4" s="1"/>
  <c r="Q25" i="4"/>
  <c r="R25" i="4" s="1"/>
  <c r="S25" i="4" s="1"/>
  <c r="T25" i="4" s="1"/>
  <c r="K12" i="5" l="1"/>
  <c r="N37" i="5"/>
  <c r="F6" i="4"/>
  <c r="L22" i="5"/>
  <c r="G5" i="5"/>
  <c r="G6" i="4" s="1"/>
  <c r="L12" i="5" l="1"/>
  <c r="L7" i="4" s="1"/>
  <c r="P24" i="5"/>
  <c r="O37" i="5"/>
  <c r="P23" i="5"/>
  <c r="M22" i="5"/>
  <c r="H5" i="5"/>
  <c r="H6" i="4" s="1"/>
  <c r="D7" i="4"/>
  <c r="D9" i="4" s="1"/>
  <c r="F7" i="4"/>
  <c r="F9" i="4" s="1"/>
  <c r="F14" i="4" s="1"/>
  <c r="E7" i="4"/>
  <c r="E9" i="4" s="1"/>
  <c r="E14" i="4" s="1"/>
  <c r="J7" i="4"/>
  <c r="I7" i="4"/>
  <c r="K7" i="4"/>
  <c r="H7" i="4"/>
  <c r="G7" i="4"/>
  <c r="G9" i="4" s="1"/>
  <c r="G14" i="4" s="1"/>
  <c r="F12" i="4" l="1"/>
  <c r="G12" i="4"/>
  <c r="E12" i="4"/>
  <c r="D15" i="4"/>
  <c r="D14" i="4"/>
  <c r="D12" i="4"/>
  <c r="P6" i="5"/>
  <c r="P21" i="5"/>
  <c r="P13" i="5"/>
  <c r="P9" i="5"/>
  <c r="P8" i="5"/>
  <c r="N22" i="5"/>
  <c r="H9" i="4"/>
  <c r="H14" i="4" s="1"/>
  <c r="I5" i="5"/>
  <c r="I6" i="4" s="1"/>
  <c r="I9" i="4" s="1"/>
  <c r="I14" i="4" s="1"/>
  <c r="H12" i="4" l="1"/>
  <c r="I12" i="4"/>
  <c r="P5" i="5"/>
  <c r="N12" i="5"/>
  <c r="N7" i="4" s="1"/>
  <c r="E13" i="4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E15" i="4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D17" i="4"/>
  <c r="D19" i="4" s="1"/>
  <c r="M12" i="5"/>
  <c r="M7" i="4" s="1"/>
  <c r="P14" i="5"/>
  <c r="O22" i="5"/>
  <c r="P22" i="5" s="1"/>
  <c r="J5" i="5"/>
  <c r="J6" i="4" s="1"/>
  <c r="J9" i="4" s="1"/>
  <c r="J14" i="4" s="1"/>
  <c r="J12" i="4" l="1"/>
  <c r="P15" i="5"/>
  <c r="P29" i="5"/>
  <c r="P16" i="5"/>
  <c r="P30" i="5"/>
  <c r="P13" i="4"/>
  <c r="Q13" i="4" s="1"/>
  <c r="R13" i="4" s="1"/>
  <c r="S13" i="4" s="1"/>
  <c r="T13" i="4" s="1"/>
  <c r="P15" i="4"/>
  <c r="K5" i="5"/>
  <c r="K6" i="4" s="1"/>
  <c r="K9" i="4" s="1"/>
  <c r="K14" i="4" s="1"/>
  <c r="F17" i="4"/>
  <c r="G17" i="4"/>
  <c r="H17" i="4"/>
  <c r="E17" i="4"/>
  <c r="I17" i="4"/>
  <c r="K12" i="4" l="1"/>
  <c r="K17" i="4" s="1"/>
  <c r="K19" i="4" s="1"/>
  <c r="O12" i="5"/>
  <c r="J17" i="4"/>
  <c r="J19" i="4" s="1"/>
  <c r="L5" i="5"/>
  <c r="L6" i="4" s="1"/>
  <c r="L9" i="4" s="1"/>
  <c r="L14" i="4" s="1"/>
  <c r="I19" i="4"/>
  <c r="H19" i="4"/>
  <c r="E19" i="4"/>
  <c r="F19" i="4"/>
  <c r="G19" i="4"/>
  <c r="L12" i="4" l="1"/>
  <c r="O7" i="4"/>
  <c r="P7" i="4" s="1"/>
  <c r="Q7" i="4" s="1"/>
  <c r="R7" i="4" s="1"/>
  <c r="S7" i="4" s="1"/>
  <c r="T7" i="4" s="1"/>
  <c r="P12" i="5"/>
  <c r="M5" i="5"/>
  <c r="M6" i="4" s="1"/>
  <c r="M9" i="4" s="1"/>
  <c r="M14" i="4" s="1"/>
  <c r="M12" i="4" l="1"/>
  <c r="L17" i="4"/>
  <c r="L19" i="4" s="1"/>
  <c r="N5" i="5"/>
  <c r="N6" i="4" s="1"/>
  <c r="O5" i="5"/>
  <c r="O6" i="4" l="1"/>
  <c r="O9" i="4" s="1"/>
  <c r="O14" i="4" s="1"/>
  <c r="M17" i="4"/>
  <c r="M19" i="4" s="1"/>
  <c r="N9" i="4"/>
  <c r="N14" i="4" s="1"/>
  <c r="O12" i="4" l="1"/>
  <c r="O17" i="4" s="1"/>
  <c r="O19" i="4" s="1"/>
  <c r="N12" i="4"/>
  <c r="P14" i="4"/>
  <c r="I51" i="5"/>
  <c r="D54" i="5" s="1"/>
  <c r="P18" i="5"/>
  <c r="D22" i="4"/>
  <c r="P6" i="4"/>
  <c r="P9" i="4" s="1"/>
  <c r="P12" i="4" l="1"/>
  <c r="P17" i="4" s="1"/>
  <c r="P18" i="4" s="1"/>
  <c r="D34" i="4"/>
  <c r="E34" i="4" s="1"/>
  <c r="F34" i="4" s="1"/>
  <c r="G34" i="4" s="1"/>
  <c r="H34" i="4" s="1"/>
  <c r="I34" i="4" s="1"/>
  <c r="J34" i="4" s="1"/>
  <c r="K34" i="4" s="1"/>
  <c r="L34" i="4" s="1"/>
  <c r="M34" i="4" s="1"/>
  <c r="N34" i="4" s="1"/>
  <c r="O34" i="4" s="1"/>
  <c r="D52" i="5"/>
  <c r="D55" i="5"/>
  <c r="D60" i="5"/>
  <c r="D24" i="4" s="1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E22" i="4"/>
  <c r="Q6" i="4"/>
  <c r="R6" i="4" s="1"/>
  <c r="S6" i="4" s="1"/>
  <c r="T6" i="4" s="1"/>
  <c r="T9" i="4" s="1"/>
  <c r="T14" i="4" s="1"/>
  <c r="Q12" i="4"/>
  <c r="N17" i="4"/>
  <c r="N19" i="4" s="1"/>
  <c r="P19" i="4" l="1"/>
  <c r="P20" i="4" s="1"/>
  <c r="P34" i="4"/>
  <c r="Q34" i="4" s="1"/>
  <c r="R34" i="4" s="1"/>
  <c r="S34" i="4" s="1"/>
  <c r="T34" i="4" s="1"/>
  <c r="D36" i="4"/>
  <c r="D38" i="4" s="1"/>
  <c r="D42" i="4" s="1"/>
  <c r="D44" i="4" s="1"/>
  <c r="D48" i="4" s="1"/>
  <c r="F22" i="4"/>
  <c r="E36" i="4"/>
  <c r="E38" i="4" s="1"/>
  <c r="E42" i="4" s="1"/>
  <c r="P24" i="4"/>
  <c r="Q24" i="4" s="1"/>
  <c r="R24" i="4" s="1"/>
  <c r="S24" i="4" s="1"/>
  <c r="T24" i="4" s="1"/>
  <c r="S9" i="4"/>
  <c r="S14" i="4" s="1"/>
  <c r="Q9" i="4"/>
  <c r="Q14" i="4" s="1"/>
  <c r="R9" i="4"/>
  <c r="R14" i="4" s="1"/>
  <c r="Q17" i="4" l="1"/>
  <c r="Q19" i="4" s="1"/>
  <c r="T12" i="4"/>
  <c r="T17" i="4" s="1"/>
  <c r="T19" i="4" s="1"/>
  <c r="G22" i="4"/>
  <c r="F36" i="4"/>
  <c r="F38" i="4" s="1"/>
  <c r="F42" i="4" s="1"/>
  <c r="E44" i="4"/>
  <c r="E48" i="4" s="1"/>
  <c r="R12" i="4"/>
  <c r="S12" i="4"/>
  <c r="S17" i="4" s="1"/>
  <c r="S19" i="4" s="1"/>
  <c r="H22" i="4" l="1"/>
  <c r="G36" i="4"/>
  <c r="G38" i="4" s="1"/>
  <c r="G42" i="4" s="1"/>
  <c r="F44" i="4"/>
  <c r="F48" i="4" s="1"/>
  <c r="R17" i="4"/>
  <c r="R19" i="4" s="1"/>
  <c r="I22" i="4" l="1"/>
  <c r="H36" i="4"/>
  <c r="H38" i="4" s="1"/>
  <c r="H42" i="4" s="1"/>
  <c r="G44" i="4"/>
  <c r="G48" i="4" s="1"/>
  <c r="J22" i="4" l="1"/>
  <c r="I36" i="4"/>
  <c r="I38" i="4" s="1"/>
  <c r="I42" i="4" s="1"/>
  <c r="H44" i="4"/>
  <c r="H48" i="4" s="1"/>
  <c r="K22" i="4" l="1"/>
  <c r="J36" i="4"/>
  <c r="J38" i="4" s="1"/>
  <c r="J42" i="4" s="1"/>
  <c r="I44" i="4"/>
  <c r="I48" i="4" s="1"/>
  <c r="L22" i="4" l="1"/>
  <c r="K36" i="4"/>
  <c r="K38" i="4" s="1"/>
  <c r="K42" i="4" s="1"/>
  <c r="J44" i="4"/>
  <c r="J48" i="4" s="1"/>
  <c r="M22" i="4" l="1"/>
  <c r="L36" i="4"/>
  <c r="L38" i="4" s="1"/>
  <c r="L42" i="4" s="1"/>
  <c r="K44" i="4"/>
  <c r="K48" i="4" s="1"/>
  <c r="N22" i="4" l="1"/>
  <c r="M36" i="4"/>
  <c r="M38" i="4" s="1"/>
  <c r="M42" i="4" s="1"/>
  <c r="L44" i="4"/>
  <c r="L48" i="4" s="1"/>
  <c r="O22" i="4" l="1"/>
  <c r="N36" i="4"/>
  <c r="N38" i="4" s="1"/>
  <c r="N42" i="4" s="1"/>
  <c r="M44" i="4"/>
  <c r="M48" i="4" s="1"/>
  <c r="O36" i="4" l="1"/>
  <c r="O38" i="4" s="1"/>
  <c r="O42" i="4" s="1"/>
  <c r="P22" i="4"/>
  <c r="N44" i="4"/>
  <c r="N48" i="4" s="1"/>
  <c r="P23" i="4"/>
  <c r="P36" i="4" l="1"/>
  <c r="Q22" i="4"/>
  <c r="R22" i="4" s="1"/>
  <c r="S22" i="4" s="1"/>
  <c r="T22" i="4" s="1"/>
  <c r="O44" i="4"/>
  <c r="O48" i="4" s="1"/>
  <c r="Q23" i="4"/>
  <c r="Q36" i="4" s="1"/>
  <c r="Q38" i="4" s="1"/>
  <c r="Q42" i="4" s="1"/>
  <c r="R23" i="4" l="1"/>
  <c r="R36" i="4" s="1"/>
  <c r="R38" i="4" s="1"/>
  <c r="R42" i="4" s="1"/>
  <c r="S23" i="4" l="1"/>
  <c r="S36" i="4" s="1"/>
  <c r="S38" i="4" s="1"/>
  <c r="S42" i="4" s="1"/>
  <c r="T23" i="4" l="1"/>
  <c r="T36" i="4" s="1"/>
  <c r="T38" i="4" s="1"/>
  <c r="T42" i="4" s="1"/>
  <c r="P38" i="4" l="1"/>
  <c r="P42" i="4" s="1"/>
  <c r="P43" i="4" s="1"/>
  <c r="P44" i="4" l="1"/>
  <c r="P48" i="4" s="1"/>
  <c r="P50" i="4" s="1"/>
  <c r="Q44" i="4" l="1"/>
  <c r="Q48" i="4" s="1"/>
  <c r="Q50" i="4" s="1"/>
  <c r="R44" i="4" l="1"/>
  <c r="S44" i="4" s="1"/>
  <c r="R48" i="4" l="1"/>
  <c r="R50" i="4" s="1"/>
  <c r="S48" i="4"/>
  <c r="S50" i="4" s="1"/>
  <c r="T44" i="4"/>
  <c r="T48" i="4" s="1"/>
  <c r="T50" i="4" s="1"/>
</calcChain>
</file>

<file path=xl/sharedStrings.xml><?xml version="1.0" encoding="utf-8"?>
<sst xmlns="http://schemas.openxmlformats.org/spreadsheetml/2006/main" count="345" uniqueCount="116">
  <si>
    <t>May</t>
  </si>
  <si>
    <t>NGN</t>
  </si>
  <si>
    <t>Revenue</t>
  </si>
  <si>
    <t>Total Revenue</t>
  </si>
  <si>
    <t>Cost of Revenue</t>
  </si>
  <si>
    <t>Operating expenses</t>
  </si>
  <si>
    <t>EBITDA</t>
  </si>
  <si>
    <t>Live_Case</t>
  </si>
  <si>
    <t>Average  no of Patient</t>
  </si>
  <si>
    <t>Average case - Price</t>
  </si>
  <si>
    <t>Gross Profit</t>
  </si>
  <si>
    <t>Security</t>
  </si>
  <si>
    <t>Electricity</t>
  </si>
  <si>
    <t>Internet</t>
  </si>
  <si>
    <t>Bank Charges</t>
  </si>
  <si>
    <t>Operating Expenses</t>
  </si>
  <si>
    <t>% of Rev</t>
  </si>
  <si>
    <t>Price Inflation</t>
  </si>
  <si>
    <t>Cost Inflation</t>
  </si>
  <si>
    <t>Total Opex</t>
  </si>
  <si>
    <t>Revenue Growth rate</t>
  </si>
  <si>
    <t>Accumulated EBITDA</t>
  </si>
  <si>
    <t>Total Investment</t>
  </si>
  <si>
    <t>Pay back Balance</t>
  </si>
  <si>
    <t>Pay back Period</t>
  </si>
  <si>
    <t>Total Direct Cost</t>
  </si>
  <si>
    <t>FY 1</t>
  </si>
  <si>
    <t>Cleaning Services</t>
  </si>
  <si>
    <t>FY 2</t>
  </si>
  <si>
    <t>FY 3</t>
  </si>
  <si>
    <t>FY 4</t>
  </si>
  <si>
    <t>FY 5</t>
  </si>
  <si>
    <t>Computations-Outputs</t>
  </si>
  <si>
    <t>Assumptions-Inputs</t>
  </si>
  <si>
    <t>Other Inputs</t>
  </si>
  <si>
    <t>Direct Cost - Consumables</t>
  </si>
  <si>
    <t>Average price spent per person</t>
  </si>
  <si>
    <t>Rent</t>
  </si>
  <si>
    <t>Consultancy</t>
  </si>
  <si>
    <t>OH Trainings</t>
  </si>
  <si>
    <t>Health promotion programs (eg EAP)</t>
  </si>
  <si>
    <t>Physical Hazards Measurements (Noise, Light, etc)</t>
  </si>
  <si>
    <t>Work place Hygiene Assessments (Ergonomic surveys)</t>
  </si>
  <si>
    <t>Microbiologic Audits (Water testing)</t>
  </si>
  <si>
    <t>Direct Cost - Staff</t>
  </si>
  <si>
    <t>Direct Cost - Overheads &amp; Others</t>
  </si>
  <si>
    <t>Total Projected Revenue</t>
  </si>
  <si>
    <t>% of Revenue</t>
  </si>
  <si>
    <t>Direct Cost - Sales Commission</t>
  </si>
  <si>
    <t>Advert, Printing &amp; Stationery</t>
  </si>
  <si>
    <t>Local Govt Levies &amp; Charges</t>
  </si>
  <si>
    <t>Insurance Expenses</t>
  </si>
  <si>
    <t>Depreciation Expenses</t>
  </si>
  <si>
    <t>Occupational Hygiene</t>
  </si>
  <si>
    <r>
      <t>Net Profit/</t>
    </r>
    <r>
      <rPr>
        <b/>
        <sz val="12"/>
        <color rgb="FFFF0000"/>
        <rFont val="Aptos Display"/>
        <family val="2"/>
      </rPr>
      <t>(Loss)</t>
    </r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</si>
  <si>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</si>
  <si>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</si>
  <si>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</si>
  <si>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</si>
  <si>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</si>
  <si>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</si>
  <si>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</si>
  <si>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</si>
  <si>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</si>
  <si>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</si>
  <si>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</si>
  <si>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</si>
  <si>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Comment</t>
  </si>
  <si>
    <t>Contribution</t>
  </si>
  <si>
    <t>Repair &amp; Maintenance</t>
  </si>
  <si>
    <t>APM Terminals</t>
  </si>
  <si>
    <t>Guiness Plc</t>
  </si>
  <si>
    <t>Pipe Coaters</t>
  </si>
  <si>
    <t>Per negotiated contract</t>
  </si>
  <si>
    <t>Average price as of Jan - Mar 2025 period</t>
  </si>
  <si>
    <t>BATN</t>
  </si>
  <si>
    <t>Quarterly Clinic outsourcing</t>
  </si>
  <si>
    <t>Indirect Staff Cost</t>
  </si>
  <si>
    <t>Indirect staff Cost</t>
  </si>
  <si>
    <t>Clinic Outsourcing</t>
  </si>
  <si>
    <t>₦</t>
  </si>
  <si>
    <t>COO</t>
  </si>
  <si>
    <t xml:space="preserve">pro-rated based on </t>
  </si>
  <si>
    <t>Lead Accountant</t>
  </si>
  <si>
    <t>Professional Services (MRO Services/OHP report &amp; recommendation)</t>
  </si>
  <si>
    <t>Needs Assessment/ Site inspections/Audits</t>
  </si>
  <si>
    <t>Calibration/Maintenance</t>
  </si>
  <si>
    <t>Doctors</t>
  </si>
  <si>
    <t>Project Officer</t>
  </si>
  <si>
    <t>Fuel - Car Pool</t>
  </si>
  <si>
    <t>Direct Cost - 3rd Party Services</t>
  </si>
  <si>
    <t>Lead Consultant</t>
  </si>
  <si>
    <t>Outsourced Corporate Clinics</t>
  </si>
  <si>
    <t>Medstaffing</t>
  </si>
  <si>
    <t>Others</t>
  </si>
  <si>
    <t>Onshore Medical Doctor</t>
  </si>
  <si>
    <t>Onshore Nurses</t>
  </si>
  <si>
    <t>Offshore Medical Doctor</t>
  </si>
  <si>
    <t>Offshore Nurses</t>
  </si>
  <si>
    <t>Onshore Pharm Technician</t>
  </si>
  <si>
    <t>Offshore Pharm Technician</t>
  </si>
  <si>
    <t>Pipe Coaters Tenaris</t>
  </si>
  <si>
    <t>Onshore Pharmacist</t>
  </si>
  <si>
    <t>Offshore Pharm acist</t>
  </si>
  <si>
    <t>Offshore Pharmacist</t>
  </si>
  <si>
    <t>Sales Team</t>
  </si>
  <si>
    <t>HR Mgr</t>
  </si>
  <si>
    <t>Sales Mgr</t>
  </si>
  <si>
    <t>Sales Operations</t>
  </si>
  <si>
    <t>Medical Doctors</t>
  </si>
  <si>
    <t>Average no Staff</t>
  </si>
  <si>
    <t>MedClinic</t>
  </si>
  <si>
    <t>Shell IA</t>
  </si>
  <si>
    <t>Oando</t>
  </si>
  <si>
    <t>Shell Admin &amp; Staff Cost</t>
  </si>
  <si>
    <t>Oando Admin &amp; Staff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</si>
</sst>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;[Red]\(#,##0\)"/>
    <numFmt numFmtId="168" formatCode="_(* #,##0_);_(* \(#,##0\);_(* &quot;-&quot;_);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3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  <font>
      <sz val="11"/>
      <color theme="1"/>
      <name val="Trebuchet MS"/>
      <family val="2"/>
    </font>
    <font>
      <b/>
      <sz val="12"/>
      <color rgb="FFFF0000"/>
      <name val="Aptos Display"/>
      <family val="2"/>
    </font>
    <font>
      <sz val="12"/>
      <color theme="0"/>
      <name val="Aptos Display"/>
      <family val="2"/>
    </font>
    <font>
      <b/>
      <sz val="12"/>
      <color theme="0"/>
      <name val="Aptos Display"/>
      <family val="2"/>
    </font>
    <font>
      <sz val="12"/>
      <color rgb="FFFF0000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164" fontId="1" fillId="0" borderId="0" applyFont="0" applyFill="0" applyBorder="0" applyAlignment="0" applyProtection="0"/>
    <xf numFmtId="168" fontId="1" fillId="0" borderId="0"/>
  </cellStyleXfs>
  <cellXfs count="93">
    <xf numFmtId="0" fontId="0" fillId="0" borderId="0" xfId="0"/>
    <xf numFmtId="0" fontId="6" fillId="0" borderId="1" xfId="3" applyFont="1" applyAlignment="1">
      <alignment horizontal="left" vertical="center"/>
    </xf>
    <xf numFmtId="0" fontId="6" fillId="0" borderId="1" xfId="3" applyFont="1" applyAlignment="1">
      <alignment vertical="center"/>
    </xf>
    <xf numFmtId="0" fontId="6" fillId="0" borderId="1" xfId="3" applyFont="1" applyAlignment="1">
      <alignment horizontal="center" vertical="center"/>
    </xf>
    <xf numFmtId="164" fontId="6" fillId="0" borderId="1" xfId="3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2" xfId="4" applyFont="1" applyAlignment="1">
      <alignment horizontal="center" vertical="center"/>
    </xf>
    <xf numFmtId="0" fontId="6" fillId="0" borderId="2" xfId="4" applyFont="1" applyAlignment="1">
      <alignment vertical="center"/>
    </xf>
    <xf numFmtId="17" fontId="6" fillId="0" borderId="2" xfId="4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3" xfId="5" applyFont="1" applyAlignment="1">
      <alignment vertical="center"/>
    </xf>
    <xf numFmtId="0" fontId="6" fillId="0" borderId="3" xfId="5" applyFont="1" applyAlignment="1">
      <alignment horizontal="center" vertical="center"/>
    </xf>
    <xf numFmtId="164" fontId="6" fillId="0" borderId="3" xfId="5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64" fontId="7" fillId="0" borderId="0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165" fontId="7" fillId="0" borderId="0" xfId="1" applyNumberFormat="1" applyFont="1" applyBorder="1" applyAlignment="1">
      <alignment horizontal="center" vertical="center"/>
    </xf>
    <xf numFmtId="165" fontId="6" fillId="0" borderId="3" xfId="1" applyNumberFormat="1" applyFont="1" applyBorder="1" applyAlignment="1">
      <alignment vertical="center"/>
    </xf>
    <xf numFmtId="165" fontId="6" fillId="0" borderId="3" xfId="5" applyNumberFormat="1" applyFont="1" applyAlignment="1">
      <alignment horizontal="center" vertical="center"/>
    </xf>
    <xf numFmtId="0" fontId="6" fillId="0" borderId="3" xfId="5" applyFont="1" applyAlignment="1">
      <alignment horizontal="left" vertical="center"/>
    </xf>
    <xf numFmtId="165" fontId="6" fillId="0" borderId="3" xfId="1" applyNumberFormat="1" applyFont="1" applyBorder="1" applyAlignment="1">
      <alignment horizontal="left" vertical="center"/>
    </xf>
    <xf numFmtId="0" fontId="7" fillId="0" borderId="0" xfId="0" applyFont="1"/>
    <xf numFmtId="165" fontId="6" fillId="0" borderId="3" xfId="5" applyNumberFormat="1" applyFont="1" applyAlignment="1">
      <alignment vertical="center"/>
    </xf>
    <xf numFmtId="0" fontId="6" fillId="0" borderId="3" xfId="5" applyNumberFormat="1" applyFont="1" applyAlignment="1">
      <alignment vertical="center"/>
    </xf>
    <xf numFmtId="165" fontId="6" fillId="0" borderId="3" xfId="1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43" fontId="7" fillId="0" borderId="0" xfId="0" applyNumberFormat="1" applyFont="1" applyAlignment="1">
      <alignment horizontal="left" vertical="center"/>
    </xf>
    <xf numFmtId="43" fontId="8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1" applyNumberFormat="1" applyFont="1" applyBorder="1" applyAlignment="1">
      <alignment vertical="center"/>
    </xf>
    <xf numFmtId="43" fontId="7" fillId="0" borderId="0" xfId="0" applyNumberFormat="1" applyFont="1" applyAlignment="1">
      <alignment horizontal="center" vertical="center"/>
    </xf>
    <xf numFmtId="49" fontId="7" fillId="0" borderId="0" xfId="1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9" fontId="7" fillId="0" borderId="0" xfId="2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5" fontId="7" fillId="0" borderId="0" xfId="2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7" fontId="6" fillId="0" borderId="3" xfId="5" applyNumberFormat="1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67" fontId="7" fillId="0" borderId="0" xfId="1" applyNumberFormat="1" applyFont="1" applyBorder="1" applyAlignment="1">
      <alignment horizontal="right" vertical="center"/>
    </xf>
    <xf numFmtId="167" fontId="8" fillId="0" borderId="0" xfId="1" applyNumberFormat="1" applyFont="1" applyBorder="1" applyAlignment="1">
      <alignment horizontal="right" vertical="center"/>
    </xf>
    <xf numFmtId="167" fontId="6" fillId="0" borderId="3" xfId="1" applyNumberFormat="1" applyFont="1" applyBorder="1" applyAlignment="1">
      <alignment horizontal="right" vertical="center"/>
    </xf>
    <xf numFmtId="9" fontId="8" fillId="0" borderId="0" xfId="2" applyFont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vertical="center"/>
    </xf>
    <xf numFmtId="165" fontId="7" fillId="0" borderId="0" xfId="6" applyNumberFormat="1" applyFont="1" applyBorder="1" applyAlignment="1">
      <alignment horizontal="center" vertical="center"/>
    </xf>
    <xf numFmtId="3" fontId="11" fillId="4" borderId="0" xfId="0" applyNumberFormat="1" applyFont="1" applyFill="1" applyAlignment="1">
      <alignment horizontal="center" vertical="center"/>
    </xf>
    <xf numFmtId="164" fontId="7" fillId="0" borderId="0" xfId="6" applyFont="1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7" fillId="0" borderId="0" xfId="0" applyFont="1" applyAlignment="1">
      <alignment horizontal="left" wrapText="1"/>
    </xf>
    <xf numFmtId="165" fontId="8" fillId="0" borderId="0" xfId="6" applyNumberFormat="1" applyFont="1" applyBorder="1" applyAlignment="1">
      <alignment horizontal="center" vertical="center"/>
    </xf>
    <xf numFmtId="165" fontId="6" fillId="0" borderId="3" xfId="6" applyNumberFormat="1" applyFont="1" applyBorder="1" applyAlignment="1">
      <alignment vertical="center"/>
    </xf>
    <xf numFmtId="165" fontId="6" fillId="0" borderId="3" xfId="6" applyNumberFormat="1" applyFont="1" applyBorder="1" applyAlignment="1">
      <alignment horizontal="center" vertical="center"/>
    </xf>
    <xf numFmtId="165" fontId="6" fillId="0" borderId="3" xfId="6" applyNumberFormat="1" applyFont="1" applyBorder="1" applyAlignment="1">
      <alignment horizontal="left" vertical="center"/>
    </xf>
    <xf numFmtId="167" fontId="7" fillId="0" borderId="0" xfId="6" applyNumberFormat="1" applyFont="1" applyBorder="1" applyAlignment="1">
      <alignment horizontal="right" vertical="center"/>
    </xf>
    <xf numFmtId="167" fontId="8" fillId="0" borderId="0" xfId="6" applyNumberFormat="1" applyFont="1" applyBorder="1" applyAlignment="1">
      <alignment horizontal="right" vertical="center"/>
    </xf>
    <xf numFmtId="167" fontId="6" fillId="0" borderId="3" xfId="6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43" fontId="12" fillId="4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167" fontId="7" fillId="0" borderId="0" xfId="6" applyNumberFormat="1" applyFont="1" applyBorder="1" applyAlignment="1">
      <alignment horizontal="center" vertical="center"/>
    </xf>
    <xf numFmtId="167" fontId="12" fillId="4" borderId="0" xfId="2" applyNumberFormat="1" applyFont="1" applyFill="1" applyBorder="1" applyAlignment="1">
      <alignment horizontal="center" vertical="center"/>
    </xf>
    <xf numFmtId="167" fontId="7" fillId="0" borderId="0" xfId="2" applyNumberFormat="1" applyFont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7" fontId="7" fillId="0" borderId="0" xfId="6" applyNumberFormat="1" applyFont="1" applyBorder="1" applyAlignment="1">
      <alignment vertical="center"/>
    </xf>
    <xf numFmtId="167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 wrapText="1"/>
    </xf>
    <xf numFmtId="167" fontId="13" fillId="0" borderId="0" xfId="6" applyNumberFormat="1" applyFont="1" applyBorder="1" applyAlignment="1">
      <alignment vertical="center"/>
    </xf>
    <xf numFmtId="167" fontId="7" fillId="0" borderId="0" xfId="1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left" vertical="center"/>
    </xf>
    <xf numFmtId="0" fontId="7" fillId="5" borderId="0" xfId="0" applyFont="1" applyFill="1" applyAlignment="1">
      <alignment horizontal="left" vertical="center" wrapText="1"/>
    </xf>
    <xf numFmtId="9" fontId="7" fillId="0" borderId="0" xfId="2" applyFont="1" applyAlignment="1">
      <alignment horizontal="center" vertical="center"/>
    </xf>
    <xf numFmtId="9" fontId="6" fillId="0" borderId="3" xfId="2" applyFont="1" applyBorder="1" applyAlignment="1">
      <alignment vertical="center"/>
    </xf>
    <xf numFmtId="9" fontId="6" fillId="0" borderId="3" xfId="2" applyFont="1" applyBorder="1" applyAlignment="1">
      <alignment horizontal="right" vertical="center"/>
    </xf>
    <xf numFmtId="165" fontId="7" fillId="0" borderId="0" xfId="1" applyNumberFormat="1" applyFont="1" applyAlignment="1">
      <alignment horizontal="center" vertical="center"/>
    </xf>
    <xf numFmtId="165" fontId="7" fillId="6" borderId="0" xfId="1" applyNumberFormat="1" applyFont="1" applyFill="1" applyAlignment="1">
      <alignment horizontal="center" vertical="center"/>
    </xf>
    <xf numFmtId="165" fontId="7" fillId="0" borderId="0" xfId="0" applyNumberFormat="1" applyFont="1"/>
    <xf numFmtId="168" fontId="7" fillId="0" borderId="0" xfId="0" applyNumberFormat="1" applyFont="1" applyAlignment="1">
      <alignment horizontal="center" vertical="center"/>
    </xf>
    <xf numFmtId="9" fontId="8" fillId="0" borderId="0" xfId="2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8">
    <cellStyle name="Comma" xfId="1" builtinId="3"/>
    <cellStyle name="Comma 2" xfId="6" xr:uid="{DCC2C899-3726-4626-8F36-35F5539DF7A4}"/>
    <cellStyle name="Heading 1" xfId="3" builtinId="16"/>
    <cellStyle name="Heading 2" xfId="4" builtinId="17"/>
    <cellStyle name="Heading 3" xfId="5" builtinId="18"/>
    <cellStyle name="Normal" xfId="0" builtinId="0"/>
    <cellStyle name="Normal 18" xfId="7" xr:uid="{04E914B7-BEFE-44A5-AEA4-C2CFB644D14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luwaseun.a/Desktop/ABIOLA/Planning%20docs%20folder/PLANNING%20DOCUMENT%20AS%20AT%207th%20JAN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.agbaffa\Documents\Medbury%20Work%20Files\Budget\2025%20OH%20Budget.xlsx" TargetMode="External"/><Relationship Id="rId1" Type="http://schemas.openxmlformats.org/officeDocument/2006/relationships/externalLinkPath" Target="/Users/b.agbaffa/Documents/Medbury%20Work%20Files/Budget/2025%20OH%20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Overview"/>
      <sheetName val="Receivables"/>
      <sheetName val="PCR Receivables sage"/>
      <sheetName val="Sheet2"/>
      <sheetName val="Payables"/>
      <sheetName val="FOREIGN VENDORS"/>
      <sheetName val="Working Capital"/>
      <sheetName val="Exp scxhedule"/>
      <sheetName val="Capex and Projects"/>
      <sheetName val="Income schedule"/>
      <sheetName val="Sheet1"/>
      <sheetName val="Loan"/>
      <sheetName val="Payroll"/>
      <sheetName val="Commission"/>
    </sheetNames>
    <sheetDataSet>
      <sheetData sheetId="0"/>
      <sheetData sheetId="1">
        <row r="1">
          <cell r="Y1" t="str">
            <v>TOTAL INFLOW</v>
          </cell>
        </row>
      </sheetData>
      <sheetData sheetId="2"/>
      <sheetData sheetId="3"/>
      <sheetData sheetId="4"/>
      <sheetData sheetId="5">
        <row r="4">
          <cell r="W4" t="str">
            <v>Lagos</v>
          </cell>
        </row>
        <row r="6">
          <cell r="W6" t="str">
            <v>Both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HIS"/>
      <sheetName val="Others"/>
      <sheetName val="Lifecheck."/>
      <sheetName val="MedClinics"/>
      <sheetName val="MedClinics2"/>
      <sheetName val="Prf Rpt"/>
      <sheetName val="Lifecheck"/>
      <sheetName val="Assumption (Advisory)"/>
      <sheetName val="Computations (Advisory)"/>
      <sheetName val="Assumption (Medfit)"/>
      <sheetName val="Computations (Medfit)"/>
      <sheetName val="MedClinics Details"/>
      <sheetName val="Medfit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5">
          <cell r="E45">
            <v>0.15</v>
          </cell>
          <cell r="F45">
            <v>0.15</v>
          </cell>
          <cell r="G45">
            <v>0.15</v>
          </cell>
          <cell r="H45">
            <v>0.15</v>
          </cell>
        </row>
        <row r="46">
          <cell r="E46">
            <v>0.15</v>
          </cell>
          <cell r="F46">
            <v>0.15</v>
          </cell>
          <cell r="G46">
            <v>0.15</v>
          </cell>
          <cell r="H46">
            <v>0.15</v>
          </cell>
        </row>
        <row r="48">
          <cell r="E48">
            <v>0.2</v>
          </cell>
          <cell r="F48">
            <v>0.2</v>
          </cell>
          <cell r="G48">
            <v>0.2</v>
          </cell>
          <cell r="H48">
            <v>0.2</v>
          </cell>
        </row>
        <row r="55">
          <cell r="E55">
            <v>0.1</v>
          </cell>
          <cell r="F55">
            <v>0.1</v>
          </cell>
          <cell r="G55">
            <v>0.1</v>
          </cell>
          <cell r="H55">
            <v>0.1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776A-99A3-4D92-94A7-7180A9FC14DC}">
  <dimension ref="B1:V71"/>
  <sheetViews>
    <sheetView zoomScaleNormal="100" zoomScaleSheetLayoutView="93" workbookViewId="0">
      <pane xSplit="3" ySplit="4" topLeftCell="D50" activePane="bottomRight" state="frozen"/>
      <selection activeCell="D40" sqref="D40"/>
      <selection pane="topRight" activeCell="D40" sqref="D40"/>
      <selection pane="bottomLeft" activeCell="D40" sqref="D40"/>
      <selection pane="bottomRight" activeCell="C53" sqref="C53"/>
    </sheetView>
  </sheetViews>
  <sheetFormatPr defaultColWidth="9.1796875" defaultRowHeight="16" x14ac:dyDescent="0.35"/>
  <cols>
    <col min="1" max="1" width="1" style="6" customWidth="1"/>
    <col min="2" max="2" width="50.6328125" style="27" customWidth="1"/>
    <col min="3" max="3" width="5.6328125" style="6" bestFit="1" customWidth="1"/>
    <col min="4" max="4" width="14.08984375" style="6" bestFit="1" customWidth="1"/>
    <col min="5" max="15" width="14.6328125" style="6" customWidth="1"/>
    <col min="16" max="16" width="15.453125" style="6" bestFit="1" customWidth="1"/>
    <col min="17" max="17" width="3.54296875" style="6" bestFit="1" customWidth="1"/>
    <col min="18" max="18" width="17.1796875" style="6" bestFit="1" customWidth="1"/>
    <col min="19" max="19" width="2.08984375" style="6" bestFit="1" customWidth="1"/>
    <col min="20" max="20" width="9.90625" style="6" bestFit="1" customWidth="1"/>
    <col min="21" max="21" width="10.453125" style="6" bestFit="1" customWidth="1"/>
    <col min="22" max="22" width="18.54296875" style="6" bestFit="1" customWidth="1"/>
    <col min="23" max="16384" width="9.1796875" style="6"/>
  </cols>
  <sheetData>
    <row r="1" spans="2:16" ht="12" customHeight="1" x14ac:dyDescent="0.35">
      <c r="B1" s="10" t="s">
        <v>33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6" ht="12" customHeight="1" x14ac:dyDescent="0.35"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2:16" s="10" customFormat="1" x14ac:dyDescent="0.35">
      <c r="B3" s="28"/>
      <c r="D3" s="30" t="s">
        <v>55</v>
      </c>
      <c r="E3" s="30" t="s">
        <v>56</v>
      </c>
      <c r="F3" s="30" t="s">
        <v>57</v>
      </c>
      <c r="G3" s="30" t="s">
        <v>58</v>
      </c>
      <c r="H3" s="30" t="s">
        <v>0</v>
      </c>
      <c r="I3" s="30" t="s">
        <v>59</v>
      </c>
      <c r="J3" s="30" t="s">
        <v>60</v>
      </c>
      <c r="K3" s="30" t="s">
        <v>61</v>
      </c>
      <c r="L3" s="30" t="s">
        <v>62</v>
      </c>
      <c r="M3" s="30" t="s">
        <v>63</v>
      </c>
      <c r="N3" s="30" t="s">
        <v>64</v>
      </c>
      <c r="O3" s="30" t="s">
        <v>65</v>
      </c>
      <c r="P3" s="10" t="s">
        <v>66</v>
      </c>
    </row>
    <row r="4" spans="2:16" s="10" customFormat="1" x14ac:dyDescent="0.35">
      <c r="B4" s="29" t="s">
        <v>7</v>
      </c>
      <c r="C4" s="27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2:16" s="10" customFormat="1" x14ac:dyDescent="0.35">
      <c r="B5" s="10" t="s">
        <v>38</v>
      </c>
      <c r="D5" s="31">
        <f t="shared" ref="D5:O5" si="0">SUM(D6:D11)</f>
        <v>16416666.666666664</v>
      </c>
      <c r="E5" s="31">
        <f t="shared" si="0"/>
        <v>16416666.666666664</v>
      </c>
      <c r="F5" s="31">
        <f t="shared" si="0"/>
        <v>16416666.666666664</v>
      </c>
      <c r="G5" s="31">
        <f t="shared" si="0"/>
        <v>16416666.666666664</v>
      </c>
      <c r="H5" s="31">
        <f t="shared" si="0"/>
        <v>16416666.666666664</v>
      </c>
      <c r="I5" s="31">
        <f t="shared" si="0"/>
        <v>16416666.666666664</v>
      </c>
      <c r="J5" s="31">
        <f t="shared" si="0"/>
        <v>16416666.666666664</v>
      </c>
      <c r="K5" s="31">
        <f t="shared" si="0"/>
        <v>16416666.666666664</v>
      </c>
      <c r="L5" s="31">
        <f t="shared" si="0"/>
        <v>16416666.666666664</v>
      </c>
      <c r="M5" s="31">
        <f t="shared" si="0"/>
        <v>16416666.666666664</v>
      </c>
      <c r="N5" s="31">
        <f t="shared" si="0"/>
        <v>16416666.666666664</v>
      </c>
      <c r="O5" s="31">
        <f t="shared" si="0"/>
        <v>16416666.666666664</v>
      </c>
      <c r="P5" s="31">
        <f>SUM(P6:P9)</f>
        <v>197000000</v>
      </c>
    </row>
    <row r="6" spans="2:16" x14ac:dyDescent="0.35">
      <c r="B6" s="83" t="s">
        <v>85</v>
      </c>
      <c r="C6" s="84"/>
      <c r="D6" s="17">
        <f>70000000/12</f>
        <v>5833333.333333333</v>
      </c>
      <c r="E6" s="17">
        <f>D6</f>
        <v>5833333.333333333</v>
      </c>
      <c r="F6" s="17">
        <f t="shared" ref="F6:O6" si="1">E6</f>
        <v>5833333.333333333</v>
      </c>
      <c r="G6" s="17">
        <f t="shared" si="1"/>
        <v>5833333.333333333</v>
      </c>
      <c r="H6" s="17">
        <f t="shared" si="1"/>
        <v>5833333.333333333</v>
      </c>
      <c r="I6" s="17">
        <f t="shared" si="1"/>
        <v>5833333.333333333</v>
      </c>
      <c r="J6" s="17">
        <f t="shared" si="1"/>
        <v>5833333.333333333</v>
      </c>
      <c r="K6" s="17">
        <f t="shared" si="1"/>
        <v>5833333.333333333</v>
      </c>
      <c r="L6" s="17">
        <f t="shared" si="1"/>
        <v>5833333.333333333</v>
      </c>
      <c r="M6" s="17">
        <f t="shared" si="1"/>
        <v>5833333.333333333</v>
      </c>
      <c r="N6" s="17">
        <f t="shared" si="1"/>
        <v>5833333.333333333</v>
      </c>
      <c r="O6" s="17">
        <f t="shared" si="1"/>
        <v>5833333.333333333</v>
      </c>
      <c r="P6" s="31">
        <f>SUM(D6:O6)</f>
        <v>70000000.000000015</v>
      </c>
    </row>
    <row r="7" spans="2:16" x14ac:dyDescent="0.35">
      <c r="B7" s="66" t="s">
        <v>40</v>
      </c>
      <c r="C7" s="84"/>
      <c r="D7" s="17">
        <f>D22*D35</f>
        <v>6000000</v>
      </c>
      <c r="E7" s="17">
        <f t="shared" ref="E7:O8" si="2">D7</f>
        <v>6000000</v>
      </c>
      <c r="F7" s="17">
        <f t="shared" si="2"/>
        <v>6000000</v>
      </c>
      <c r="G7" s="17">
        <f t="shared" si="2"/>
        <v>6000000</v>
      </c>
      <c r="H7" s="17">
        <f t="shared" si="2"/>
        <v>6000000</v>
      </c>
      <c r="I7" s="17">
        <f t="shared" si="2"/>
        <v>6000000</v>
      </c>
      <c r="J7" s="17">
        <f t="shared" si="2"/>
        <v>6000000</v>
      </c>
      <c r="K7" s="17">
        <f t="shared" si="2"/>
        <v>6000000</v>
      </c>
      <c r="L7" s="17">
        <f t="shared" si="2"/>
        <v>6000000</v>
      </c>
      <c r="M7" s="17">
        <f t="shared" si="2"/>
        <v>6000000</v>
      </c>
      <c r="N7" s="17">
        <f t="shared" si="2"/>
        <v>6000000</v>
      </c>
      <c r="O7" s="17">
        <f t="shared" si="2"/>
        <v>6000000</v>
      </c>
      <c r="P7" s="31">
        <f>SUM(D7:O7)</f>
        <v>72000000</v>
      </c>
    </row>
    <row r="8" spans="2:16" ht="32" x14ac:dyDescent="0.35">
      <c r="B8" s="66" t="s">
        <v>84</v>
      </c>
      <c r="C8" s="84"/>
      <c r="D8" s="17">
        <f>20000000/12</f>
        <v>1666666.6666666667</v>
      </c>
      <c r="E8" s="17">
        <f>D8</f>
        <v>1666666.6666666667</v>
      </c>
      <c r="F8" s="17">
        <f t="shared" si="2"/>
        <v>1666666.6666666667</v>
      </c>
      <c r="G8" s="17">
        <f t="shared" si="2"/>
        <v>1666666.6666666667</v>
      </c>
      <c r="H8" s="17">
        <f t="shared" si="2"/>
        <v>1666666.6666666667</v>
      </c>
      <c r="I8" s="17">
        <f t="shared" si="2"/>
        <v>1666666.6666666667</v>
      </c>
      <c r="J8" s="17">
        <f t="shared" si="2"/>
        <v>1666666.6666666667</v>
      </c>
      <c r="K8" s="17">
        <f t="shared" si="2"/>
        <v>1666666.6666666667</v>
      </c>
      <c r="L8" s="17">
        <f t="shared" si="2"/>
        <v>1666666.6666666667</v>
      </c>
      <c r="M8" s="17">
        <f t="shared" si="2"/>
        <v>1666666.6666666667</v>
      </c>
      <c r="N8" s="17">
        <f t="shared" si="2"/>
        <v>1666666.6666666667</v>
      </c>
      <c r="O8" s="17">
        <f t="shared" si="2"/>
        <v>1666666.6666666667</v>
      </c>
      <c r="P8" s="31">
        <f>SUM(D8:O8)</f>
        <v>20000000</v>
      </c>
    </row>
    <row r="9" spans="2:16" x14ac:dyDescent="0.35">
      <c r="B9" s="83" t="s">
        <v>39</v>
      </c>
      <c r="C9" s="84"/>
      <c r="D9" s="17">
        <f>35000000/12</f>
        <v>2916666.6666666665</v>
      </c>
      <c r="E9" s="17">
        <f t="shared" ref="E9:O9" si="3">35000000/12</f>
        <v>2916666.6666666665</v>
      </c>
      <c r="F9" s="17">
        <f t="shared" si="3"/>
        <v>2916666.6666666665</v>
      </c>
      <c r="G9" s="17">
        <f t="shared" si="3"/>
        <v>2916666.6666666665</v>
      </c>
      <c r="H9" s="17">
        <f t="shared" si="3"/>
        <v>2916666.6666666665</v>
      </c>
      <c r="I9" s="17">
        <f t="shared" si="3"/>
        <v>2916666.6666666665</v>
      </c>
      <c r="J9" s="17">
        <f t="shared" si="3"/>
        <v>2916666.6666666665</v>
      </c>
      <c r="K9" s="17">
        <f t="shared" si="3"/>
        <v>2916666.6666666665</v>
      </c>
      <c r="L9" s="17">
        <f t="shared" si="3"/>
        <v>2916666.6666666665</v>
      </c>
      <c r="M9" s="17">
        <f t="shared" si="3"/>
        <v>2916666.6666666665</v>
      </c>
      <c r="N9" s="17">
        <f t="shared" si="3"/>
        <v>2916666.6666666665</v>
      </c>
      <c r="O9" s="17">
        <f t="shared" si="3"/>
        <v>2916666.6666666665</v>
      </c>
      <c r="P9" s="31">
        <f>SUM(D9:O9)</f>
        <v>35000000.000000007</v>
      </c>
    </row>
    <row r="10" spans="2:16" x14ac:dyDescent="0.35">
      <c r="B10" s="32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31"/>
    </row>
    <row r="11" spans="2:16" s="10" customFormat="1" x14ac:dyDescent="0.35">
      <c r="B11" s="2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31"/>
    </row>
    <row r="12" spans="2:16" s="10" customFormat="1" x14ac:dyDescent="0.35">
      <c r="B12" s="33" t="s">
        <v>53</v>
      </c>
      <c r="D12" s="31">
        <f t="shared" ref="D12:O12" si="4">SUM(D13:D18)</f>
        <v>0</v>
      </c>
      <c r="E12" s="31">
        <f t="shared" si="4"/>
        <v>135000000</v>
      </c>
      <c r="F12" s="31">
        <f t="shared" si="4"/>
        <v>0</v>
      </c>
      <c r="G12" s="31">
        <f t="shared" si="4"/>
        <v>0</v>
      </c>
      <c r="H12" s="31">
        <f t="shared" si="4"/>
        <v>135000000</v>
      </c>
      <c r="I12" s="31">
        <f t="shared" si="4"/>
        <v>0</v>
      </c>
      <c r="J12" s="31">
        <f t="shared" si="4"/>
        <v>0</v>
      </c>
      <c r="K12" s="31">
        <f t="shared" si="4"/>
        <v>135000000</v>
      </c>
      <c r="L12" s="31">
        <f t="shared" si="4"/>
        <v>0</v>
      </c>
      <c r="M12" s="31">
        <f t="shared" si="4"/>
        <v>0</v>
      </c>
      <c r="N12" s="31">
        <f t="shared" si="4"/>
        <v>135000000</v>
      </c>
      <c r="O12" s="31">
        <f t="shared" si="4"/>
        <v>0</v>
      </c>
      <c r="P12" s="31">
        <f>SUM(D12:O12)</f>
        <v>540000000</v>
      </c>
    </row>
    <row r="13" spans="2:16" x14ac:dyDescent="0.35">
      <c r="B13" s="66" t="s">
        <v>43</v>
      </c>
      <c r="C13" s="84">
        <v>0.5</v>
      </c>
      <c r="D13" s="17"/>
      <c r="E13" s="17">
        <f>$C13*50000000</f>
        <v>25000000</v>
      </c>
      <c r="F13" s="17"/>
      <c r="G13" s="17"/>
      <c r="H13" s="17">
        <f>$C13*50000000</f>
        <v>25000000</v>
      </c>
      <c r="I13" s="17"/>
      <c r="J13" s="17"/>
      <c r="K13" s="17">
        <f>$C13*50000000</f>
        <v>25000000</v>
      </c>
      <c r="L13" s="17"/>
      <c r="M13" s="17"/>
      <c r="N13" s="17">
        <f>$C13*50000000</f>
        <v>25000000</v>
      </c>
      <c r="O13" s="17"/>
      <c r="P13" s="31">
        <f>SUM(D13:O13)</f>
        <v>100000000</v>
      </c>
    </row>
    <row r="14" spans="2:16" x14ac:dyDescent="0.35">
      <c r="B14" s="66" t="s">
        <v>41</v>
      </c>
      <c r="C14" s="84">
        <v>0.1</v>
      </c>
      <c r="D14" s="17"/>
      <c r="E14" s="17">
        <f t="shared" ref="E14:E15" si="5">$C14*50000000</f>
        <v>5000000</v>
      </c>
      <c r="F14" s="17"/>
      <c r="G14" s="17"/>
      <c r="H14" s="17">
        <f t="shared" ref="H14:H15" si="6">$C14*50000000</f>
        <v>5000000</v>
      </c>
      <c r="I14" s="17"/>
      <c r="J14" s="17"/>
      <c r="K14" s="17">
        <f t="shared" ref="K14:K15" si="7">$C14*50000000</f>
        <v>5000000</v>
      </c>
      <c r="L14" s="17"/>
      <c r="M14" s="17"/>
      <c r="N14" s="17">
        <f t="shared" ref="N14:N15" si="8">$C14*50000000</f>
        <v>5000000</v>
      </c>
      <c r="O14" s="17"/>
      <c r="P14" s="31">
        <f>SUM(D14:O14)</f>
        <v>20000000</v>
      </c>
    </row>
    <row r="15" spans="2:16" x14ac:dyDescent="0.35">
      <c r="B15" s="66" t="s">
        <v>42</v>
      </c>
      <c r="C15" s="84">
        <v>0.1</v>
      </c>
      <c r="D15" s="17"/>
      <c r="E15" s="17">
        <f t="shared" si="5"/>
        <v>5000000</v>
      </c>
      <c r="F15" s="17"/>
      <c r="G15" s="17"/>
      <c r="H15" s="17">
        <f t="shared" si="6"/>
        <v>5000000</v>
      </c>
      <c r="I15" s="17"/>
      <c r="J15" s="17"/>
      <c r="K15" s="17">
        <f t="shared" si="7"/>
        <v>5000000</v>
      </c>
      <c r="L15" s="17"/>
      <c r="M15" s="17"/>
      <c r="N15" s="17">
        <f t="shared" si="8"/>
        <v>5000000</v>
      </c>
      <c r="O15" s="17"/>
      <c r="P15" s="31">
        <f>SUM(D15:O15)</f>
        <v>20000000</v>
      </c>
    </row>
    <row r="16" spans="2:16" x14ac:dyDescent="0.35">
      <c r="B16" s="66" t="s">
        <v>86</v>
      </c>
      <c r="C16" s="84">
        <v>0.3</v>
      </c>
      <c r="D16" s="17"/>
      <c r="E16" s="17">
        <f>E30*E43</f>
        <v>100000000</v>
      </c>
      <c r="F16" s="17"/>
      <c r="G16" s="17"/>
      <c r="H16" s="17">
        <f>H30*H43</f>
        <v>100000000</v>
      </c>
      <c r="I16" s="17"/>
      <c r="J16" s="17"/>
      <c r="K16" s="17">
        <f>K30*K43</f>
        <v>100000000</v>
      </c>
      <c r="L16" s="17"/>
      <c r="M16" s="17"/>
      <c r="N16" s="17">
        <f>N30*N43</f>
        <v>100000000</v>
      </c>
      <c r="O16" s="17"/>
      <c r="P16" s="31">
        <f>SUM(D16:O16)</f>
        <v>400000000</v>
      </c>
    </row>
    <row r="17" spans="2:16" x14ac:dyDescent="0.35">
      <c r="B17" s="66"/>
      <c r="C17" s="84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31"/>
    </row>
    <row r="18" spans="2:16" x14ac:dyDescent="0.35">
      <c r="B18" s="32"/>
      <c r="C18" s="3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31">
        <f>P12+P5</f>
        <v>737000000</v>
      </c>
    </row>
    <row r="19" spans="2:16" x14ac:dyDescent="0.35">
      <c r="B19" s="29" t="s">
        <v>8</v>
      </c>
      <c r="D19" s="35"/>
      <c r="H19" s="15"/>
    </row>
    <row r="20" spans="2:16" x14ac:dyDescent="0.35">
      <c r="B20" s="10" t="s">
        <v>38</v>
      </c>
      <c r="D20" s="35"/>
      <c r="H20" s="15"/>
    </row>
    <row r="21" spans="2:16" x14ac:dyDescent="0.35">
      <c r="B21" s="83" t="s">
        <v>85</v>
      </c>
      <c r="D21" s="36">
        <v>2</v>
      </c>
      <c r="E21" s="36">
        <f>D21</f>
        <v>2</v>
      </c>
      <c r="F21" s="36">
        <f>E21</f>
        <v>2</v>
      </c>
      <c r="G21" s="36">
        <f t="shared" ref="G21:O21" si="9">F21</f>
        <v>2</v>
      </c>
      <c r="H21" s="36">
        <f t="shared" si="9"/>
        <v>2</v>
      </c>
      <c r="I21" s="36">
        <f t="shared" si="9"/>
        <v>2</v>
      </c>
      <c r="J21" s="36">
        <f t="shared" si="9"/>
        <v>2</v>
      </c>
      <c r="K21" s="36">
        <f t="shared" si="9"/>
        <v>2</v>
      </c>
      <c r="L21" s="36">
        <f t="shared" si="9"/>
        <v>2</v>
      </c>
      <c r="M21" s="36">
        <f t="shared" si="9"/>
        <v>2</v>
      </c>
      <c r="N21" s="36">
        <f t="shared" si="9"/>
        <v>2</v>
      </c>
      <c r="O21" s="36">
        <f t="shared" si="9"/>
        <v>2</v>
      </c>
      <c r="P21" s="31">
        <f t="shared" ref="P21:P24" si="10">SUM(D21:O21)</f>
        <v>24</v>
      </c>
    </row>
    <row r="22" spans="2:16" x14ac:dyDescent="0.35">
      <c r="B22" s="66" t="s">
        <v>40</v>
      </c>
      <c r="D22" s="36">
        <v>30</v>
      </c>
      <c r="E22" s="36">
        <f>D22</f>
        <v>30</v>
      </c>
      <c r="F22" s="36">
        <f t="shared" ref="F22:O22" si="11">E22</f>
        <v>30</v>
      </c>
      <c r="G22" s="36">
        <f t="shared" si="11"/>
        <v>30</v>
      </c>
      <c r="H22" s="36">
        <f t="shared" si="11"/>
        <v>30</v>
      </c>
      <c r="I22" s="36">
        <f t="shared" si="11"/>
        <v>30</v>
      </c>
      <c r="J22" s="36">
        <f t="shared" si="11"/>
        <v>30</v>
      </c>
      <c r="K22" s="36">
        <f t="shared" si="11"/>
        <v>30</v>
      </c>
      <c r="L22" s="36">
        <f t="shared" si="11"/>
        <v>30</v>
      </c>
      <c r="M22" s="36">
        <f t="shared" si="11"/>
        <v>30</v>
      </c>
      <c r="N22" s="36">
        <f t="shared" si="11"/>
        <v>30</v>
      </c>
      <c r="O22" s="36">
        <f t="shared" si="11"/>
        <v>30</v>
      </c>
      <c r="P22" s="31">
        <f t="shared" si="10"/>
        <v>360</v>
      </c>
    </row>
    <row r="23" spans="2:16" ht="32" x14ac:dyDescent="0.35">
      <c r="B23" s="66" t="s">
        <v>84</v>
      </c>
      <c r="D23" s="36">
        <v>30</v>
      </c>
      <c r="E23" s="36">
        <f>D23</f>
        <v>30</v>
      </c>
      <c r="F23" s="36">
        <f t="shared" ref="F23:O24" si="12">E23</f>
        <v>30</v>
      </c>
      <c r="G23" s="36">
        <f t="shared" si="12"/>
        <v>30</v>
      </c>
      <c r="H23" s="36">
        <f t="shared" si="12"/>
        <v>30</v>
      </c>
      <c r="I23" s="36">
        <f t="shared" si="12"/>
        <v>30</v>
      </c>
      <c r="J23" s="36">
        <f t="shared" si="12"/>
        <v>30</v>
      </c>
      <c r="K23" s="36">
        <f t="shared" si="12"/>
        <v>30</v>
      </c>
      <c r="L23" s="36">
        <f t="shared" si="12"/>
        <v>30</v>
      </c>
      <c r="M23" s="36">
        <f t="shared" si="12"/>
        <v>30</v>
      </c>
      <c r="N23" s="36">
        <f t="shared" si="12"/>
        <v>30</v>
      </c>
      <c r="O23" s="36">
        <f t="shared" si="12"/>
        <v>30</v>
      </c>
      <c r="P23" s="31">
        <f t="shared" si="10"/>
        <v>360</v>
      </c>
    </row>
    <row r="24" spans="2:16" x14ac:dyDescent="0.35">
      <c r="B24" s="83" t="s">
        <v>39</v>
      </c>
      <c r="D24" s="36">
        <v>10</v>
      </c>
      <c r="E24" s="36">
        <f>D24</f>
        <v>10</v>
      </c>
      <c r="F24" s="36">
        <f t="shared" si="12"/>
        <v>10</v>
      </c>
      <c r="G24" s="36">
        <f t="shared" si="12"/>
        <v>10</v>
      </c>
      <c r="H24" s="36">
        <f t="shared" si="12"/>
        <v>10</v>
      </c>
      <c r="I24" s="36">
        <f t="shared" si="12"/>
        <v>10</v>
      </c>
      <c r="J24" s="36">
        <f t="shared" si="12"/>
        <v>10</v>
      </c>
      <c r="K24" s="36">
        <f t="shared" si="12"/>
        <v>10</v>
      </c>
      <c r="L24" s="36">
        <f t="shared" si="12"/>
        <v>10</v>
      </c>
      <c r="M24" s="36">
        <f t="shared" si="12"/>
        <v>10</v>
      </c>
      <c r="N24" s="36">
        <f t="shared" si="12"/>
        <v>10</v>
      </c>
      <c r="O24" s="36">
        <f t="shared" si="12"/>
        <v>10</v>
      </c>
      <c r="P24" s="31">
        <f t="shared" si="10"/>
        <v>120</v>
      </c>
    </row>
    <row r="25" spans="2:16" s="10" customFormat="1" x14ac:dyDescent="0.35">
      <c r="B25" s="27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1"/>
    </row>
    <row r="26" spans="2:16" x14ac:dyDescent="0.35">
      <c r="B26" s="33" t="s">
        <v>53</v>
      </c>
      <c r="C26" s="37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5"/>
    </row>
    <row r="27" spans="2:16" x14ac:dyDescent="0.35">
      <c r="B27" s="66" t="s">
        <v>43</v>
      </c>
      <c r="C27" s="37"/>
      <c r="D27" s="36">
        <v>3</v>
      </c>
      <c r="E27" s="36">
        <v>3</v>
      </c>
      <c r="F27" s="36">
        <v>3</v>
      </c>
      <c r="G27" s="36">
        <v>3</v>
      </c>
      <c r="H27" s="36">
        <v>3</v>
      </c>
      <c r="I27" s="36">
        <v>3</v>
      </c>
      <c r="J27" s="36">
        <v>3</v>
      </c>
      <c r="K27" s="36">
        <v>3</v>
      </c>
      <c r="L27" s="36">
        <v>3</v>
      </c>
      <c r="M27" s="36">
        <v>3</v>
      </c>
      <c r="N27" s="36">
        <v>3</v>
      </c>
      <c r="O27" s="36">
        <v>3</v>
      </c>
      <c r="P27" s="31">
        <f t="shared" ref="P27:P30" si="13">SUM(D27:O27)</f>
        <v>36</v>
      </c>
    </row>
    <row r="28" spans="2:16" x14ac:dyDescent="0.35">
      <c r="B28" s="66" t="s">
        <v>41</v>
      </c>
      <c r="C28" s="37"/>
      <c r="D28" s="36">
        <v>3</v>
      </c>
      <c r="E28" s="36">
        <f>D28</f>
        <v>3</v>
      </c>
      <c r="F28" s="36">
        <f t="shared" ref="F28:O28" si="14">E28</f>
        <v>3</v>
      </c>
      <c r="G28" s="36">
        <f t="shared" si="14"/>
        <v>3</v>
      </c>
      <c r="H28" s="36">
        <f t="shared" si="14"/>
        <v>3</v>
      </c>
      <c r="I28" s="36">
        <f t="shared" si="14"/>
        <v>3</v>
      </c>
      <c r="J28" s="36">
        <f t="shared" si="14"/>
        <v>3</v>
      </c>
      <c r="K28" s="36">
        <f t="shared" si="14"/>
        <v>3</v>
      </c>
      <c r="L28" s="36">
        <f t="shared" si="14"/>
        <v>3</v>
      </c>
      <c r="M28" s="36">
        <f t="shared" si="14"/>
        <v>3</v>
      </c>
      <c r="N28" s="36">
        <f t="shared" si="14"/>
        <v>3</v>
      </c>
      <c r="O28" s="36">
        <f t="shared" si="14"/>
        <v>3</v>
      </c>
      <c r="P28" s="31">
        <f t="shared" si="13"/>
        <v>36</v>
      </c>
    </row>
    <row r="29" spans="2:16" x14ac:dyDescent="0.35">
      <c r="B29" s="66" t="s">
        <v>42</v>
      </c>
      <c r="C29" s="37"/>
      <c r="D29" s="36">
        <v>5</v>
      </c>
      <c r="E29" s="36">
        <f>D29</f>
        <v>5</v>
      </c>
      <c r="F29" s="36">
        <f t="shared" ref="F29:O29" si="15">E29</f>
        <v>5</v>
      </c>
      <c r="G29" s="36">
        <f t="shared" si="15"/>
        <v>5</v>
      </c>
      <c r="H29" s="36">
        <f t="shared" si="15"/>
        <v>5</v>
      </c>
      <c r="I29" s="36">
        <f t="shared" si="15"/>
        <v>5</v>
      </c>
      <c r="J29" s="36">
        <f t="shared" si="15"/>
        <v>5</v>
      </c>
      <c r="K29" s="36">
        <f t="shared" si="15"/>
        <v>5</v>
      </c>
      <c r="L29" s="36">
        <f t="shared" si="15"/>
        <v>5</v>
      </c>
      <c r="M29" s="36">
        <f t="shared" si="15"/>
        <v>5</v>
      </c>
      <c r="N29" s="36">
        <f t="shared" si="15"/>
        <v>5</v>
      </c>
      <c r="O29" s="36">
        <f t="shared" si="15"/>
        <v>5</v>
      </c>
      <c r="P29" s="31">
        <f t="shared" si="13"/>
        <v>60</v>
      </c>
    </row>
    <row r="30" spans="2:16" x14ac:dyDescent="0.35">
      <c r="B30" s="66" t="s">
        <v>86</v>
      </c>
      <c r="C30" s="37"/>
      <c r="D30" s="36"/>
      <c r="E30" s="36">
        <v>2</v>
      </c>
      <c r="F30" s="36"/>
      <c r="G30" s="36"/>
      <c r="H30" s="36">
        <v>2</v>
      </c>
      <c r="I30" s="36"/>
      <c r="J30" s="36"/>
      <c r="K30" s="36">
        <v>2</v>
      </c>
      <c r="L30" s="36"/>
      <c r="M30" s="36"/>
      <c r="N30" s="36">
        <v>2</v>
      </c>
      <c r="O30" s="36"/>
      <c r="P30" s="31">
        <f t="shared" si="13"/>
        <v>8</v>
      </c>
    </row>
    <row r="31" spans="2:16" x14ac:dyDescent="0.35">
      <c r="B31" s="32"/>
      <c r="C31" s="37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</row>
    <row r="32" spans="2:16" x14ac:dyDescent="0.35">
      <c r="B32" s="29" t="s">
        <v>9</v>
      </c>
      <c r="C32" s="10"/>
    </row>
    <row r="33" spans="2:15" x14ac:dyDescent="0.35">
      <c r="B33" s="10" t="s">
        <v>38</v>
      </c>
      <c r="C33" s="10"/>
      <c r="D33" s="92" t="s">
        <v>36</v>
      </c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</row>
    <row r="34" spans="2:15" x14ac:dyDescent="0.35">
      <c r="B34" s="83" t="s">
        <v>85</v>
      </c>
      <c r="D34" s="17">
        <v>2000000</v>
      </c>
      <c r="E34" s="17">
        <v>2000000</v>
      </c>
      <c r="F34" s="17">
        <v>2000000</v>
      </c>
      <c r="G34" s="17">
        <v>2000000</v>
      </c>
      <c r="H34" s="17">
        <v>2000000</v>
      </c>
      <c r="I34" s="17">
        <v>2000000</v>
      </c>
      <c r="J34" s="17">
        <v>2000000</v>
      </c>
      <c r="K34" s="17">
        <v>2000000</v>
      </c>
      <c r="L34" s="17">
        <v>2000000</v>
      </c>
      <c r="M34" s="17">
        <v>2000000</v>
      </c>
      <c r="N34" s="17">
        <v>2000000</v>
      </c>
      <c r="O34" s="17">
        <v>2000000</v>
      </c>
    </row>
    <row r="35" spans="2:15" x14ac:dyDescent="0.35">
      <c r="B35" s="66" t="s">
        <v>40</v>
      </c>
      <c r="D35" s="17">
        <v>200000</v>
      </c>
      <c r="E35" s="17">
        <f>D35</f>
        <v>200000</v>
      </c>
      <c r="F35" s="17">
        <f t="shared" ref="F35:O35" si="16">E35</f>
        <v>200000</v>
      </c>
      <c r="G35" s="17">
        <f t="shared" si="16"/>
        <v>200000</v>
      </c>
      <c r="H35" s="17">
        <f t="shared" si="16"/>
        <v>200000</v>
      </c>
      <c r="I35" s="17">
        <f t="shared" si="16"/>
        <v>200000</v>
      </c>
      <c r="J35" s="17">
        <f t="shared" si="16"/>
        <v>200000</v>
      </c>
      <c r="K35" s="17">
        <f t="shared" si="16"/>
        <v>200000</v>
      </c>
      <c r="L35" s="17">
        <f t="shared" si="16"/>
        <v>200000</v>
      </c>
      <c r="M35" s="17">
        <f t="shared" si="16"/>
        <v>200000</v>
      </c>
      <c r="N35" s="17">
        <f t="shared" si="16"/>
        <v>200000</v>
      </c>
      <c r="O35" s="17">
        <f t="shared" si="16"/>
        <v>200000</v>
      </c>
    </row>
    <row r="36" spans="2:15" ht="32" x14ac:dyDescent="0.35">
      <c r="B36" s="66" t="s">
        <v>84</v>
      </c>
      <c r="D36" s="17">
        <v>50000</v>
      </c>
      <c r="E36" s="17">
        <f>D36</f>
        <v>50000</v>
      </c>
      <c r="F36" s="17">
        <f t="shared" ref="F36:O37" si="17">E36</f>
        <v>50000</v>
      </c>
      <c r="G36" s="17">
        <f t="shared" si="17"/>
        <v>50000</v>
      </c>
      <c r="H36" s="17">
        <f t="shared" si="17"/>
        <v>50000</v>
      </c>
      <c r="I36" s="17">
        <f t="shared" si="17"/>
        <v>50000</v>
      </c>
      <c r="J36" s="17">
        <f t="shared" si="17"/>
        <v>50000</v>
      </c>
      <c r="K36" s="17">
        <f t="shared" si="17"/>
        <v>50000</v>
      </c>
      <c r="L36" s="17">
        <f t="shared" si="17"/>
        <v>50000</v>
      </c>
      <c r="M36" s="17">
        <f t="shared" si="17"/>
        <v>50000</v>
      </c>
      <c r="N36" s="17">
        <f t="shared" si="17"/>
        <v>50000</v>
      </c>
      <c r="O36" s="17">
        <f t="shared" si="17"/>
        <v>50000</v>
      </c>
    </row>
    <row r="37" spans="2:15" x14ac:dyDescent="0.35">
      <c r="B37" s="83" t="s">
        <v>39</v>
      </c>
      <c r="D37" s="17">
        <v>200000</v>
      </c>
      <c r="E37" s="17">
        <f>D37</f>
        <v>200000</v>
      </c>
      <c r="F37" s="17">
        <f t="shared" si="17"/>
        <v>200000</v>
      </c>
      <c r="G37" s="17">
        <f t="shared" si="17"/>
        <v>200000</v>
      </c>
      <c r="H37" s="17">
        <f t="shared" si="17"/>
        <v>200000</v>
      </c>
      <c r="I37" s="17">
        <f t="shared" si="17"/>
        <v>200000</v>
      </c>
      <c r="J37" s="17">
        <f t="shared" si="17"/>
        <v>200000</v>
      </c>
      <c r="K37" s="17">
        <f t="shared" si="17"/>
        <v>200000</v>
      </c>
      <c r="L37" s="17">
        <f t="shared" si="17"/>
        <v>200000</v>
      </c>
      <c r="M37" s="17">
        <f t="shared" si="17"/>
        <v>200000</v>
      </c>
      <c r="N37" s="17">
        <f t="shared" si="17"/>
        <v>200000</v>
      </c>
      <c r="O37" s="17">
        <f t="shared" si="17"/>
        <v>200000</v>
      </c>
    </row>
    <row r="38" spans="2:15" s="10" customFormat="1" x14ac:dyDescent="0.35">
      <c r="B38" s="27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</row>
    <row r="39" spans="2:15" x14ac:dyDescent="0.35">
      <c r="B39" s="33" t="s">
        <v>53</v>
      </c>
      <c r="C39" s="37"/>
      <c r="D39" s="57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2:15" x14ac:dyDescent="0.35">
      <c r="B40" s="66" t="s">
        <v>43</v>
      </c>
      <c r="C40" s="84"/>
      <c r="D40" s="17">
        <v>1388888.8</v>
      </c>
      <c r="E40" s="17">
        <f>D40</f>
        <v>1388888.8</v>
      </c>
      <c r="F40" s="17">
        <f t="shared" ref="F40:O40" si="18">E40</f>
        <v>1388888.8</v>
      </c>
      <c r="G40" s="17">
        <f t="shared" si="18"/>
        <v>1388888.8</v>
      </c>
      <c r="H40" s="17">
        <f t="shared" si="18"/>
        <v>1388888.8</v>
      </c>
      <c r="I40" s="17">
        <f t="shared" si="18"/>
        <v>1388888.8</v>
      </c>
      <c r="J40" s="17">
        <f t="shared" si="18"/>
        <v>1388888.8</v>
      </c>
      <c r="K40" s="17">
        <f t="shared" si="18"/>
        <v>1388888.8</v>
      </c>
      <c r="L40" s="17">
        <f t="shared" si="18"/>
        <v>1388888.8</v>
      </c>
      <c r="M40" s="17">
        <f t="shared" si="18"/>
        <v>1388888.8</v>
      </c>
      <c r="N40" s="17">
        <f t="shared" si="18"/>
        <v>1388888.8</v>
      </c>
      <c r="O40" s="17">
        <f t="shared" si="18"/>
        <v>1388888.8</v>
      </c>
    </row>
    <row r="41" spans="2:15" x14ac:dyDescent="0.35">
      <c r="B41" s="66" t="s">
        <v>41</v>
      </c>
      <c r="C41" s="84"/>
      <c r="D41" s="17">
        <v>555555.55000000005</v>
      </c>
      <c r="E41" s="17">
        <f>D41</f>
        <v>555555.55000000005</v>
      </c>
      <c r="F41" s="17">
        <f t="shared" ref="F41:O41" si="19">E41</f>
        <v>555555.55000000005</v>
      </c>
      <c r="G41" s="17">
        <f t="shared" si="19"/>
        <v>555555.55000000005</v>
      </c>
      <c r="H41" s="17">
        <f t="shared" si="19"/>
        <v>555555.55000000005</v>
      </c>
      <c r="I41" s="17">
        <f t="shared" si="19"/>
        <v>555555.55000000005</v>
      </c>
      <c r="J41" s="17">
        <f t="shared" si="19"/>
        <v>555555.55000000005</v>
      </c>
      <c r="K41" s="17">
        <f t="shared" si="19"/>
        <v>555555.55000000005</v>
      </c>
      <c r="L41" s="17">
        <f t="shared" si="19"/>
        <v>555555.55000000005</v>
      </c>
      <c r="M41" s="17">
        <f t="shared" si="19"/>
        <v>555555.55000000005</v>
      </c>
      <c r="N41" s="17">
        <f t="shared" si="19"/>
        <v>555555.55000000005</v>
      </c>
      <c r="O41" s="17">
        <f t="shared" si="19"/>
        <v>555555.55000000005</v>
      </c>
    </row>
    <row r="42" spans="2:15" x14ac:dyDescent="0.35">
      <c r="B42" s="66" t="s">
        <v>42</v>
      </c>
      <c r="C42" s="84"/>
      <c r="D42" s="17">
        <v>333333.33</v>
      </c>
      <c r="E42" s="17">
        <f>D42</f>
        <v>333333.33</v>
      </c>
      <c r="F42" s="17">
        <f t="shared" ref="F42:O42" si="20">E42</f>
        <v>333333.33</v>
      </c>
      <c r="G42" s="17">
        <f t="shared" si="20"/>
        <v>333333.33</v>
      </c>
      <c r="H42" s="17">
        <f t="shared" si="20"/>
        <v>333333.33</v>
      </c>
      <c r="I42" s="17">
        <f t="shared" si="20"/>
        <v>333333.33</v>
      </c>
      <c r="J42" s="17">
        <f t="shared" si="20"/>
        <v>333333.33</v>
      </c>
      <c r="K42" s="17">
        <f t="shared" si="20"/>
        <v>333333.33</v>
      </c>
      <c r="L42" s="17">
        <f t="shared" si="20"/>
        <v>333333.33</v>
      </c>
      <c r="M42" s="17">
        <f t="shared" si="20"/>
        <v>333333.33</v>
      </c>
      <c r="N42" s="17">
        <f t="shared" si="20"/>
        <v>333333.33</v>
      </c>
      <c r="O42" s="17">
        <f t="shared" si="20"/>
        <v>333333.33</v>
      </c>
    </row>
    <row r="43" spans="2:15" x14ac:dyDescent="0.35">
      <c r="B43" s="66" t="s">
        <v>86</v>
      </c>
      <c r="C43" s="84"/>
      <c r="D43" s="17"/>
      <c r="E43" s="17">
        <v>50000000</v>
      </c>
      <c r="F43" s="17"/>
      <c r="G43" s="17"/>
      <c r="H43" s="17">
        <v>50000000</v>
      </c>
      <c r="I43" s="17"/>
      <c r="J43" s="17"/>
      <c r="K43" s="17">
        <v>50000000</v>
      </c>
      <c r="L43" s="17"/>
      <c r="M43" s="17"/>
      <c r="N43" s="17">
        <v>50000000</v>
      </c>
      <c r="O43" s="17"/>
    </row>
    <row r="44" spans="2:15" x14ac:dyDescent="0.35">
      <c r="B44" s="32"/>
      <c r="C44" s="37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</row>
    <row r="45" spans="2:15" x14ac:dyDescent="0.35">
      <c r="B45" s="32"/>
      <c r="C45" s="37"/>
      <c r="D45" s="34"/>
    </row>
    <row r="46" spans="2:15" x14ac:dyDescent="0.35">
      <c r="B46" s="29" t="s">
        <v>34</v>
      </c>
    </row>
    <row r="47" spans="2:15" ht="14.5" customHeight="1" x14ac:dyDescent="0.35">
      <c r="B47" s="28"/>
      <c r="C47" s="28"/>
      <c r="D47" s="10" t="s">
        <v>26</v>
      </c>
      <c r="E47" s="10" t="s">
        <v>28</v>
      </c>
      <c r="F47" s="10" t="s">
        <v>29</v>
      </c>
      <c r="G47" s="10" t="s">
        <v>30</v>
      </c>
      <c r="H47" s="10" t="s">
        <v>31</v>
      </c>
    </row>
    <row r="48" spans="2:15" x14ac:dyDescent="0.35">
      <c r="B48" s="28" t="s">
        <v>17</v>
      </c>
      <c r="C48" s="28"/>
      <c r="E48" s="40">
        <v>0.15</v>
      </c>
      <c r="F48" s="40">
        <v>0.15</v>
      </c>
      <c r="G48" s="40">
        <v>0.15</v>
      </c>
      <c r="H48" s="40">
        <v>0.15</v>
      </c>
      <c r="I48" s="40"/>
      <c r="J48" s="41"/>
      <c r="K48" s="41"/>
      <c r="L48" s="41"/>
      <c r="M48" s="41"/>
      <c r="N48" s="41"/>
    </row>
    <row r="49" spans="2:22" x14ac:dyDescent="0.35">
      <c r="B49" s="28" t="s">
        <v>18</v>
      </c>
      <c r="C49" s="28"/>
      <c r="E49" s="40">
        <v>0.15</v>
      </c>
      <c r="F49" s="40">
        <v>0.15</v>
      </c>
      <c r="G49" s="40">
        <v>0.15</v>
      </c>
      <c r="H49" s="40">
        <v>0.15</v>
      </c>
      <c r="I49" s="40"/>
      <c r="J49" s="41"/>
      <c r="K49" s="41"/>
      <c r="L49" s="41"/>
      <c r="M49" s="41"/>
      <c r="N49" s="41"/>
    </row>
    <row r="50" spans="2:22" ht="48" x14ac:dyDescent="0.35">
      <c r="B50" s="28"/>
      <c r="C50" s="28"/>
      <c r="E50" s="40"/>
      <c r="F50" s="40"/>
      <c r="G50" s="40"/>
      <c r="H50" s="40"/>
      <c r="I50" s="51" t="s">
        <v>46</v>
      </c>
      <c r="J50" s="41"/>
      <c r="K50" s="41"/>
      <c r="L50" s="41"/>
      <c r="M50" s="41"/>
      <c r="N50" s="41"/>
    </row>
    <row r="51" spans="2:22" x14ac:dyDescent="0.35">
      <c r="B51" s="27" t="s">
        <v>20</v>
      </c>
      <c r="C51" s="6">
        <v>10</v>
      </c>
      <c r="E51" s="40">
        <v>0.2</v>
      </c>
      <c r="F51" s="40">
        <v>0.2</v>
      </c>
      <c r="G51" s="40">
        <v>0.2</v>
      </c>
      <c r="H51" s="40">
        <v>0.2</v>
      </c>
      <c r="I51" s="42">
        <f>P5+P12</f>
        <v>737000000</v>
      </c>
      <c r="J51" s="41"/>
      <c r="K51" s="41"/>
      <c r="L51" s="41"/>
      <c r="M51" s="41"/>
      <c r="N51" s="41"/>
      <c r="R51" s="27" t="s">
        <v>87</v>
      </c>
      <c r="S51" s="6">
        <v>1</v>
      </c>
      <c r="T51" s="80">
        <v>850000</v>
      </c>
    </row>
    <row r="52" spans="2:22" x14ac:dyDescent="0.35">
      <c r="B52" s="27" t="s">
        <v>35</v>
      </c>
      <c r="C52" s="44">
        <v>0.5</v>
      </c>
      <c r="D52" s="5">
        <f>$I$51*C52</f>
        <v>368500000</v>
      </c>
      <c r="E52" s="40">
        <v>0.1</v>
      </c>
      <c r="F52" s="40">
        <v>0.08</v>
      </c>
      <c r="G52" s="40">
        <v>0.08</v>
      </c>
      <c r="H52" s="40">
        <v>0.06</v>
      </c>
      <c r="I52" s="40"/>
      <c r="J52" s="41"/>
      <c r="K52" s="41"/>
      <c r="L52" s="41"/>
      <c r="M52" s="41"/>
      <c r="N52" s="41"/>
      <c r="R52" s="27" t="s">
        <v>88</v>
      </c>
      <c r="S52" s="6">
        <v>1</v>
      </c>
      <c r="T52" s="80">
        <v>200000</v>
      </c>
    </row>
    <row r="53" spans="2:22" x14ac:dyDescent="0.35">
      <c r="B53" s="27" t="s">
        <v>44</v>
      </c>
      <c r="C53" s="44">
        <v>0.05</v>
      </c>
      <c r="D53" s="5">
        <f>T54</f>
        <v>3050000</v>
      </c>
      <c r="E53" s="40">
        <v>0.1</v>
      </c>
      <c r="F53" s="40">
        <v>0.08</v>
      </c>
      <c r="G53" s="40">
        <v>0.05</v>
      </c>
      <c r="H53" s="40">
        <v>0.05</v>
      </c>
      <c r="I53" s="40"/>
      <c r="J53" s="41"/>
      <c r="K53" s="41"/>
      <c r="L53" s="41"/>
      <c r="M53" s="41"/>
      <c r="N53" s="41"/>
      <c r="R53" s="27" t="s">
        <v>91</v>
      </c>
      <c r="S53" s="6">
        <v>1</v>
      </c>
      <c r="T53" s="80">
        <v>2000000</v>
      </c>
    </row>
    <row r="54" spans="2:22" x14ac:dyDescent="0.35">
      <c r="B54" s="27" t="s">
        <v>48</v>
      </c>
      <c r="C54" s="44">
        <v>0.01</v>
      </c>
      <c r="D54" s="5">
        <f>$I$51*C54</f>
        <v>7370000</v>
      </c>
      <c r="E54" s="40"/>
      <c r="F54" s="40"/>
      <c r="G54" s="40"/>
      <c r="H54" s="40"/>
      <c r="I54" s="40"/>
      <c r="J54" s="41"/>
      <c r="K54" s="41"/>
      <c r="L54" s="41"/>
      <c r="M54" s="41"/>
      <c r="N54" s="41"/>
      <c r="T54" s="73">
        <f>SUM(T51:T53)</f>
        <v>3050000</v>
      </c>
    </row>
    <row r="55" spans="2:22" ht="13.5" customHeight="1" x14ac:dyDescent="0.35">
      <c r="B55" s="27" t="s">
        <v>45</v>
      </c>
      <c r="C55" s="44">
        <v>0</v>
      </c>
      <c r="D55" s="5">
        <f>$I$51*C55</f>
        <v>0</v>
      </c>
      <c r="I55" s="41"/>
      <c r="J55" s="41"/>
      <c r="K55" s="41"/>
      <c r="L55" s="41"/>
      <c r="M55" s="41"/>
      <c r="N55" s="41"/>
    </row>
    <row r="56" spans="2:22" x14ac:dyDescent="0.35">
      <c r="D56" s="5"/>
    </row>
    <row r="57" spans="2:22" x14ac:dyDescent="0.35">
      <c r="B57" s="27" t="s">
        <v>15</v>
      </c>
      <c r="D57" s="5"/>
    </row>
    <row r="58" spans="2:22" x14ac:dyDescent="0.4">
      <c r="B58" s="22" t="s">
        <v>78</v>
      </c>
      <c r="C58" s="44">
        <v>0</v>
      </c>
      <c r="D58" s="5"/>
      <c r="E58" s="40">
        <v>0.1</v>
      </c>
      <c r="F58" s="40">
        <v>0.1</v>
      </c>
      <c r="G58" s="40">
        <v>0.1</v>
      </c>
      <c r="H58" s="40">
        <v>0.1</v>
      </c>
      <c r="I58" s="41"/>
    </row>
    <row r="59" spans="2:22" x14ac:dyDescent="0.4">
      <c r="B59" s="22" t="s">
        <v>69</v>
      </c>
      <c r="C59" s="44">
        <v>5.0000000000000001E-3</v>
      </c>
      <c r="D59" s="5"/>
      <c r="E59" s="41"/>
      <c r="F59" s="41"/>
      <c r="G59" s="41"/>
      <c r="H59" s="41"/>
      <c r="I59" s="27" t="s">
        <v>47</v>
      </c>
    </row>
    <row r="60" spans="2:22" x14ac:dyDescent="0.4">
      <c r="B60" s="22" t="s">
        <v>14</v>
      </c>
      <c r="C60" s="45">
        <v>2.0000000000000001E-4</v>
      </c>
      <c r="D60" s="5">
        <f>($I$51*C60)/12</f>
        <v>12283.333333333334</v>
      </c>
      <c r="E60" s="41"/>
      <c r="F60" s="41"/>
      <c r="G60" s="41"/>
      <c r="H60" s="41"/>
      <c r="I60" s="27" t="s">
        <v>16</v>
      </c>
    </row>
    <row r="61" spans="2:22" x14ac:dyDescent="0.4">
      <c r="B61" s="22" t="s">
        <v>49</v>
      </c>
      <c r="D61" s="17">
        <v>100000</v>
      </c>
      <c r="E61" s="41"/>
      <c r="F61" s="41"/>
      <c r="G61" s="41"/>
      <c r="H61" s="41"/>
      <c r="I61" s="41"/>
      <c r="R61" s="27" t="s">
        <v>78</v>
      </c>
      <c r="S61" s="27"/>
      <c r="T61" s="27"/>
      <c r="U61" s="27"/>
      <c r="V61" s="27"/>
    </row>
    <row r="62" spans="2:22" x14ac:dyDescent="0.4">
      <c r="B62" s="22" t="s">
        <v>37</v>
      </c>
      <c r="D62" s="17">
        <f>5000000/12*0</f>
        <v>0</v>
      </c>
      <c r="E62" s="41"/>
      <c r="F62" s="41"/>
      <c r="G62" s="41"/>
      <c r="H62" s="41"/>
      <c r="I62" s="41"/>
      <c r="R62" s="27" t="s">
        <v>81</v>
      </c>
      <c r="S62" s="6">
        <v>1</v>
      </c>
      <c r="T62" s="80">
        <f>1648628.56641109+1000000</f>
        <v>2648628.5664110901</v>
      </c>
      <c r="U62" s="81">
        <f>T62*0.25</f>
        <v>662157.14160277252</v>
      </c>
      <c r="V62" s="27" t="s">
        <v>82</v>
      </c>
    </row>
    <row r="63" spans="2:22" x14ac:dyDescent="0.4">
      <c r="B63" s="22" t="s">
        <v>13</v>
      </c>
      <c r="D63" s="17">
        <v>50000</v>
      </c>
      <c r="E63" s="41"/>
      <c r="F63" s="41"/>
      <c r="G63" s="41"/>
      <c r="H63" s="41"/>
      <c r="I63" s="41"/>
      <c r="R63" s="27" t="s">
        <v>83</v>
      </c>
      <c r="S63" s="6">
        <v>1</v>
      </c>
      <c r="T63" s="80">
        <v>684286.29333333333</v>
      </c>
      <c r="U63" s="81">
        <f>T63*0.25</f>
        <v>171071.57333333333</v>
      </c>
      <c r="V63" s="27" t="s">
        <v>82</v>
      </c>
    </row>
    <row r="64" spans="2:22" x14ac:dyDescent="0.4">
      <c r="B64" s="22" t="s">
        <v>27</v>
      </c>
      <c r="D64" s="17">
        <v>0</v>
      </c>
      <c r="E64" s="41"/>
      <c r="F64" s="41"/>
      <c r="G64" s="41"/>
      <c r="H64" s="41"/>
      <c r="I64" s="41"/>
      <c r="R64" s="27"/>
      <c r="S64" s="27"/>
      <c r="T64" s="27"/>
      <c r="U64" s="27"/>
      <c r="V64" s="27"/>
    </row>
    <row r="65" spans="2:22" x14ac:dyDescent="0.4">
      <c r="B65" s="22" t="s">
        <v>89</v>
      </c>
      <c r="D65" s="17">
        <f>650000*0</f>
        <v>0</v>
      </c>
      <c r="E65" s="41"/>
      <c r="F65" s="41"/>
      <c r="G65" s="41"/>
      <c r="H65" s="41"/>
      <c r="I65" s="41"/>
      <c r="R65" s="27"/>
      <c r="S65" s="27"/>
      <c r="T65" s="27"/>
      <c r="U65" s="82">
        <f>SUM(U62:U63)</f>
        <v>833228.71493610588</v>
      </c>
      <c r="V65" s="27"/>
    </row>
    <row r="66" spans="2:22" x14ac:dyDescent="0.4">
      <c r="B66" s="22" t="s">
        <v>12</v>
      </c>
      <c r="D66" s="17">
        <f>250000*0</f>
        <v>0</v>
      </c>
      <c r="E66" s="41"/>
      <c r="F66" s="41"/>
      <c r="G66" s="41"/>
      <c r="H66" s="41"/>
      <c r="I66" s="41"/>
    </row>
    <row r="67" spans="2:22" x14ac:dyDescent="0.4">
      <c r="B67" s="22" t="s">
        <v>11</v>
      </c>
      <c r="D67" s="17">
        <v>0</v>
      </c>
      <c r="E67" s="41"/>
      <c r="F67" s="41"/>
      <c r="G67" s="41"/>
      <c r="H67" s="41"/>
      <c r="I67" s="41"/>
    </row>
    <row r="68" spans="2:22" x14ac:dyDescent="0.4">
      <c r="B68" s="22" t="s">
        <v>50</v>
      </c>
      <c r="D68" s="17">
        <f>300000</f>
        <v>300000</v>
      </c>
      <c r="E68" s="41"/>
      <c r="F68" s="41"/>
      <c r="G68" s="41"/>
      <c r="H68" s="41"/>
      <c r="I68" s="41"/>
    </row>
    <row r="69" spans="2:22" x14ac:dyDescent="0.4">
      <c r="B69" s="22" t="s">
        <v>51</v>
      </c>
      <c r="D69" s="17">
        <v>135000</v>
      </c>
      <c r="E69" s="41"/>
      <c r="F69" s="41"/>
      <c r="G69" s="41"/>
      <c r="H69" s="41"/>
      <c r="I69" s="41"/>
    </row>
    <row r="70" spans="2:22" x14ac:dyDescent="0.35">
      <c r="B70" s="27" t="s">
        <v>52</v>
      </c>
      <c r="D70" s="17">
        <f>((500000*3)*0.25)/12</f>
        <v>31250</v>
      </c>
    </row>
    <row r="71" spans="2:22" x14ac:dyDescent="0.35">
      <c r="B71" s="27" t="s">
        <v>68</v>
      </c>
      <c r="C71" s="45">
        <v>5.0000000000000001E-3</v>
      </c>
      <c r="D71" s="17">
        <v>700000</v>
      </c>
    </row>
  </sheetData>
  <mergeCells count="1">
    <mergeCell ref="D33:O33"/>
  </mergeCells>
  <phoneticPr fontId="2" type="noConversion"/>
  <dataValidations disablePrompts="1" count="1">
    <dataValidation type="list" allowBlank="1" showInputMessage="1" showErrorMessage="1" sqref="C5 C11 C25 C38" xr:uid="{57E6DC3C-C991-4DFC-8F74-1E542A65FFBF}">
      <formula1>"Upside,Downside,Base case"</formula1>
    </dataValidation>
  </dataValidations>
  <pageMargins left="0.7" right="0.7" top="0.75" bottom="0.75" header="0.3" footer="0.3"/>
  <pageSetup scale="51" orientation="portrait" r:id="rId1"/>
  <rowBreaks count="1" manualBreakCount="1">
    <brk id="44" max="16383" man="1"/>
  </rowBreaks>
  <ignoredErrors>
    <ignoredError sqref="E7:O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D666-4F0B-46A6-B746-FB8CA91C04D5}">
  <sheetPr>
    <outlinePr summaryRight="0"/>
  </sheetPr>
  <dimension ref="A2:Y50"/>
  <sheetViews>
    <sheetView showGridLines="0" tabSelected="1" view="pageBreakPreview" zoomScaleNormal="100" zoomScaleSheetLayoutView="100" workbookViewId="0">
      <pane xSplit="3" ySplit="4" topLeftCell="E5" activePane="bottomRight" state="frozen"/>
      <selection pane="topRight" activeCell="D1" sqref="D1"/>
      <selection pane="bottomLeft" activeCell="A5" sqref="A5"/>
      <selection pane="bottomRight" activeCell="P43" sqref="P43"/>
    </sheetView>
  </sheetViews>
  <sheetFormatPr defaultColWidth="9.1796875" defaultRowHeight="16" outlineLevelRow="1" outlineLevelCol="1" x14ac:dyDescent="0.35"/>
  <cols>
    <col min="1" max="1" width="1.453125" style="6" customWidth="1"/>
    <col min="2" max="2" width="32.08984375" style="14" bestFit="1" customWidth="1"/>
    <col min="3" max="3" width="7.08984375" style="6" bestFit="1" customWidth="1"/>
    <col min="4" max="5" width="13.54296875" style="6" customWidth="1" outlineLevel="1"/>
    <col min="6" max="15" width="13.54296875" style="6" bestFit="1" customWidth="1" outlineLevel="1"/>
    <col min="16" max="16" width="14.81640625" style="10" bestFit="1" customWidth="1" collapsed="1"/>
    <col min="17" max="17" width="21.54296875" style="15" hidden="1" customWidth="1" outlineLevel="1"/>
    <col min="18" max="18" width="22" style="15" hidden="1" customWidth="1" outlineLevel="1"/>
    <col min="19" max="19" width="21" style="15" hidden="1" customWidth="1" outlineLevel="1"/>
    <col min="20" max="20" width="21.81640625" style="15" hidden="1" customWidth="1" outlineLevel="1"/>
    <col min="21" max="21" width="21.81640625" style="6" customWidth="1"/>
    <col min="22" max="16384" width="9.1796875" style="6"/>
  </cols>
  <sheetData>
    <row r="2" spans="1:25" ht="16.5" thickBot="1" x14ac:dyDescent="0.4">
      <c r="A2" s="1" t="s">
        <v>32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5"/>
    </row>
    <row r="3" spans="1:25" s="10" customFormat="1" ht="17" thickTop="1" thickBot="1" x14ac:dyDescent="0.4">
      <c r="A3" s="7"/>
      <c r="B3" s="8"/>
      <c r="C3" s="7"/>
      <c r="D3" s="9" t="s">
        <v>55</v>
      </c>
      <c r="E3" s="9" t="s">
        <v>56</v>
      </c>
      <c r="F3" s="9" t="s">
        <v>57</v>
      </c>
      <c r="G3" s="9" t="s">
        <v>58</v>
      </c>
      <c r="H3" s="9" t="s">
        <v>0</v>
      </c>
      <c r="I3" s="9" t="s">
        <v>59</v>
      </c>
      <c r="J3" s="9" t="s">
        <v>60</v>
      </c>
      <c r="K3" s="9" t="s">
        <v>61</v>
      </c>
      <c r="L3" s="9" t="s">
        <v>62</v>
      </c>
      <c r="M3" s="9" t="s">
        <v>63</v>
      </c>
      <c r="N3" s="9" t="s">
        <v>64</v>
      </c>
      <c r="O3" s="9" t="s">
        <v>65</v>
      </c>
      <c r="P3" s="7" t="s">
        <v>26</v>
      </c>
      <c r="Q3" s="7" t="s">
        <v>28</v>
      </c>
      <c r="R3" s="7" t="s">
        <v>29</v>
      </c>
      <c r="S3" s="7" t="s">
        <v>30</v>
      </c>
      <c r="T3" s="7" t="s">
        <v>31</v>
      </c>
      <c r="U3" s="5"/>
      <c r="V3" s="6"/>
      <c r="W3" s="6"/>
      <c r="X3" s="6"/>
      <c r="Y3" s="6"/>
    </row>
    <row r="4" spans="1:25" ht="17" thickTop="1" thickBot="1" x14ac:dyDescent="0.4">
      <c r="A4" s="7"/>
      <c r="B4" s="8"/>
      <c r="C4" s="7"/>
      <c r="D4" s="7" t="s">
        <v>80</v>
      </c>
      <c r="E4" s="7" t="s">
        <v>80</v>
      </c>
      <c r="F4" s="7" t="s">
        <v>80</v>
      </c>
      <c r="G4" s="7" t="s">
        <v>80</v>
      </c>
      <c r="H4" s="7" t="s">
        <v>80</v>
      </c>
      <c r="I4" s="7" t="s">
        <v>80</v>
      </c>
      <c r="J4" s="7" t="s">
        <v>80</v>
      </c>
      <c r="K4" s="7" t="s">
        <v>80</v>
      </c>
      <c r="L4" s="7" t="s">
        <v>80</v>
      </c>
      <c r="M4" s="7" t="s">
        <v>80</v>
      </c>
      <c r="N4" s="7" t="s">
        <v>80</v>
      </c>
      <c r="O4" s="7" t="s">
        <v>80</v>
      </c>
      <c r="P4" s="7" t="s">
        <v>80</v>
      </c>
      <c r="Q4" s="7" t="s">
        <v>1</v>
      </c>
      <c r="R4" s="7" t="s">
        <v>1</v>
      </c>
      <c r="S4" s="7" t="s">
        <v>1</v>
      </c>
      <c r="T4" s="7" t="s">
        <v>1</v>
      </c>
      <c r="U4" s="5"/>
    </row>
    <row r="5" spans="1:25" ht="18" customHeight="1" thickTop="1" thickBot="1" x14ac:dyDescent="0.4">
      <c r="B5" s="11" t="s">
        <v>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/>
      <c r="R5" s="13"/>
      <c r="S5" s="13"/>
      <c r="T5" s="13"/>
      <c r="U5" s="5"/>
    </row>
    <row r="6" spans="1:25" x14ac:dyDescent="0.35">
      <c r="B6" s="14" t="str">
        <f>'Assumption (Advisory)'!B5</f>
        <v>Consultancy</v>
      </c>
      <c r="D6" s="17">
        <f>'Assumption (Advisory)'!D5</f>
        <v>16416666.666666664</v>
      </c>
      <c r="E6" s="17">
        <f>'Assumption (Advisory)'!E5</f>
        <v>16416666.666666664</v>
      </c>
      <c r="F6" s="17">
        <f>'Assumption (Advisory)'!F5</f>
        <v>16416666.666666664</v>
      </c>
      <c r="G6" s="17">
        <f>'Assumption (Advisory)'!G5</f>
        <v>16416666.666666664</v>
      </c>
      <c r="H6" s="17">
        <f>'Assumption (Advisory)'!H5</f>
        <v>16416666.666666664</v>
      </c>
      <c r="I6" s="17">
        <f>'Assumption (Advisory)'!I5</f>
        <v>16416666.666666664</v>
      </c>
      <c r="J6" s="17">
        <f>'Assumption (Advisory)'!J5</f>
        <v>16416666.666666664</v>
      </c>
      <c r="K6" s="17">
        <f>'Assumption (Advisory)'!K5</f>
        <v>16416666.666666664</v>
      </c>
      <c r="L6" s="17">
        <f>'Assumption (Advisory)'!L5</f>
        <v>16416666.666666664</v>
      </c>
      <c r="M6" s="17">
        <f>'Assumption (Advisory)'!M5</f>
        <v>16416666.666666664</v>
      </c>
      <c r="N6" s="17">
        <f>'Assumption (Advisory)'!N5</f>
        <v>16416666.666666664</v>
      </c>
      <c r="O6" s="17">
        <f>'Assumption (Advisory)'!O5</f>
        <v>16416666.666666664</v>
      </c>
      <c r="P6" s="16">
        <f>SUM(D6:O6)</f>
        <v>196999999.99999991</v>
      </c>
      <c r="Q6" s="17">
        <f>P6*(1+'Assumption (Advisory)'!E$48)*(1+'Assumption (Advisory)'!E$51)</f>
        <v>271859999.99999982</v>
      </c>
      <c r="R6" s="17">
        <f>Q6*(1+'Assumption (Advisory)'!F$48)*(1+'Assumption (Advisory)'!F$51)</f>
        <v>375166799.9999997</v>
      </c>
      <c r="S6" s="17">
        <f>R6*(1+'Assumption (Advisory)'!G$48)*(1+'Assumption (Advisory)'!G$51)</f>
        <v>517730183.99999952</v>
      </c>
      <c r="T6" s="17">
        <f>S6*(1+'Assumption (Advisory)'!H$48)*(1+'Assumption (Advisory)'!H$51)</f>
        <v>714467653.91999924</v>
      </c>
      <c r="U6" s="5"/>
    </row>
    <row r="7" spans="1:25" x14ac:dyDescent="0.35">
      <c r="B7" s="14" t="str">
        <f>'Assumption (Advisory)'!B12</f>
        <v>Occupational Hygiene</v>
      </c>
      <c r="D7" s="17">
        <f>'Assumption (Advisory)'!D12</f>
        <v>0</v>
      </c>
      <c r="E7" s="17">
        <f>'Assumption (Advisory)'!E12</f>
        <v>135000000</v>
      </c>
      <c r="F7" s="17">
        <f>'Assumption (Advisory)'!F12</f>
        <v>0</v>
      </c>
      <c r="G7" s="17">
        <f>'Assumption (Advisory)'!G12</f>
        <v>0</v>
      </c>
      <c r="H7" s="17">
        <f>'Assumption (Advisory)'!H12</f>
        <v>135000000</v>
      </c>
      <c r="I7" s="17">
        <f>'Assumption (Advisory)'!I12</f>
        <v>0</v>
      </c>
      <c r="J7" s="17">
        <f>'Assumption (Advisory)'!J12</f>
        <v>0</v>
      </c>
      <c r="K7" s="17">
        <f>'Assumption (Advisory)'!K12</f>
        <v>135000000</v>
      </c>
      <c r="L7" s="17">
        <f>'Assumption (Advisory)'!L12</f>
        <v>0</v>
      </c>
      <c r="M7" s="17">
        <f>'Assumption (Advisory)'!M12</f>
        <v>0</v>
      </c>
      <c r="N7" s="17">
        <f>'Assumption (Advisory)'!N12</f>
        <v>135000000</v>
      </c>
      <c r="O7" s="17">
        <f>'Assumption (Advisory)'!O12</f>
        <v>0</v>
      </c>
      <c r="P7" s="16">
        <f>SUM(D7:O7)</f>
        <v>540000000</v>
      </c>
      <c r="Q7" s="17">
        <f>P7*(1+'Assumption (Advisory)'!E$48)*(1+'Assumption (Advisory)'!E$51)</f>
        <v>745200000</v>
      </c>
      <c r="R7" s="17">
        <f>Q7*(1+'Assumption (Advisory)'!F$48)*(1+'Assumption (Advisory)'!F$51)</f>
        <v>1028375999.9999998</v>
      </c>
      <c r="S7" s="17">
        <f>R7*(1+'Assumption (Advisory)'!G$48)*(1+'Assumption (Advisory)'!G$51)</f>
        <v>1419158879.9999993</v>
      </c>
      <c r="T7" s="17">
        <f>S7*(1+'Assumption (Advisory)'!H$48)*(1+'Assumption (Advisory)'!H$51)</f>
        <v>1958439254.3999987</v>
      </c>
      <c r="U7" s="5"/>
    </row>
    <row r="8" spans="1:25" ht="16.5" thickBot="1" x14ac:dyDescent="0.4">
      <c r="B8" s="11"/>
      <c r="C8" s="11"/>
      <c r="D8" s="19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18"/>
      <c r="Q8" s="18"/>
      <c r="R8" s="18"/>
      <c r="S8" s="18"/>
      <c r="T8" s="18"/>
      <c r="U8" s="5"/>
    </row>
    <row r="9" spans="1:25" s="10" customFormat="1" ht="16.5" thickBot="1" x14ac:dyDescent="0.4">
      <c r="B9" s="11" t="s">
        <v>3</v>
      </c>
      <c r="C9" s="11"/>
      <c r="D9" s="19">
        <f>SUM(D6:D7)</f>
        <v>16416666.666666664</v>
      </c>
      <c r="E9" s="23">
        <f t="shared" ref="E9:T9" si="0">SUM(E6:E7)</f>
        <v>151416666.66666666</v>
      </c>
      <c r="F9" s="23">
        <f t="shared" si="0"/>
        <v>16416666.666666664</v>
      </c>
      <c r="G9" s="23">
        <f t="shared" si="0"/>
        <v>16416666.666666664</v>
      </c>
      <c r="H9" s="23">
        <f t="shared" si="0"/>
        <v>151416666.66666666</v>
      </c>
      <c r="I9" s="23">
        <f t="shared" si="0"/>
        <v>16416666.666666664</v>
      </c>
      <c r="J9" s="23">
        <f t="shared" si="0"/>
        <v>16416666.666666664</v>
      </c>
      <c r="K9" s="23">
        <f t="shared" si="0"/>
        <v>151416666.66666666</v>
      </c>
      <c r="L9" s="23">
        <f t="shared" si="0"/>
        <v>16416666.666666664</v>
      </c>
      <c r="M9" s="23">
        <f t="shared" si="0"/>
        <v>16416666.666666664</v>
      </c>
      <c r="N9" s="23">
        <f t="shared" si="0"/>
        <v>151416666.66666666</v>
      </c>
      <c r="O9" s="23">
        <f t="shared" si="0"/>
        <v>16416666.666666664</v>
      </c>
      <c r="P9" s="23">
        <f t="shared" si="0"/>
        <v>736999999.99999988</v>
      </c>
      <c r="Q9" s="23">
        <f>SUM(Q6:Q7)</f>
        <v>1017059999.9999998</v>
      </c>
      <c r="R9" s="23">
        <f t="shared" si="0"/>
        <v>1403542799.9999995</v>
      </c>
      <c r="S9" s="23">
        <f t="shared" si="0"/>
        <v>1936889063.9999988</v>
      </c>
      <c r="T9" s="23">
        <f t="shared" si="0"/>
        <v>2672906908.3199978</v>
      </c>
      <c r="U9" s="5"/>
      <c r="V9" s="6"/>
      <c r="W9" s="6"/>
      <c r="X9" s="6"/>
      <c r="Y9" s="6"/>
    </row>
    <row r="10" spans="1:25" x14ac:dyDescent="0.35"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6"/>
      <c r="Q10" s="17"/>
      <c r="R10" s="17"/>
      <c r="S10" s="17"/>
      <c r="T10" s="17"/>
      <c r="U10" s="5"/>
    </row>
    <row r="11" spans="1:25" ht="16.5" thickBot="1" x14ac:dyDescent="0.4">
      <c r="B11" s="11" t="s">
        <v>4</v>
      </c>
      <c r="C11" s="12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5"/>
    </row>
    <row r="12" spans="1:25" x14ac:dyDescent="0.35">
      <c r="B12" s="27" t="s">
        <v>90</v>
      </c>
      <c r="C12" s="44">
        <v>0.5</v>
      </c>
      <c r="D12" s="17">
        <f>$C$12*D$9</f>
        <v>8208333.3333333321</v>
      </c>
      <c r="E12" s="17">
        <f t="shared" ref="E12:O12" si="1">$C$12*E$9</f>
        <v>75708333.333333328</v>
      </c>
      <c r="F12" s="17">
        <f t="shared" si="1"/>
        <v>8208333.3333333321</v>
      </c>
      <c r="G12" s="17">
        <f t="shared" si="1"/>
        <v>8208333.3333333321</v>
      </c>
      <c r="H12" s="17">
        <f t="shared" si="1"/>
        <v>75708333.333333328</v>
      </c>
      <c r="I12" s="17">
        <f t="shared" si="1"/>
        <v>8208333.3333333321</v>
      </c>
      <c r="J12" s="17">
        <f t="shared" si="1"/>
        <v>8208333.3333333321</v>
      </c>
      <c r="K12" s="17">
        <f t="shared" si="1"/>
        <v>75708333.333333328</v>
      </c>
      <c r="L12" s="17">
        <f t="shared" si="1"/>
        <v>8208333.3333333321</v>
      </c>
      <c r="M12" s="17">
        <f t="shared" si="1"/>
        <v>8208333.3333333321</v>
      </c>
      <c r="N12" s="17">
        <f t="shared" si="1"/>
        <v>75708333.333333328</v>
      </c>
      <c r="O12" s="17">
        <f t="shared" si="1"/>
        <v>8208333.3333333321</v>
      </c>
      <c r="P12" s="16">
        <f>SUM(D12:O12)</f>
        <v>368499999.99999988</v>
      </c>
      <c r="Q12" s="17">
        <f>P$9*(1+'Assumption (Advisory)'!E$52)*'Assumption (Advisory)'!$C$52</f>
        <v>405349999.99999994</v>
      </c>
      <c r="R12" s="17">
        <f>Q$9*(1+'Assumption (Advisory)'!F$52)*'Assumption (Advisory)'!$C$52</f>
        <v>549212399.99999988</v>
      </c>
      <c r="S12" s="17">
        <f>R$9*(1+'Assumption (Advisory)'!G$52)*'Assumption (Advisory)'!$C$52</f>
        <v>757913111.99999976</v>
      </c>
      <c r="T12" s="17">
        <f>S$9*(1+'Assumption (Advisory)'!H$52)*'Assumption (Advisory)'!$C$52</f>
        <v>1026551203.9199994</v>
      </c>
      <c r="U12" s="5"/>
    </row>
    <row r="13" spans="1:25" x14ac:dyDescent="0.35">
      <c r="B13" s="27" t="s">
        <v>44</v>
      </c>
      <c r="C13" s="44"/>
      <c r="D13" s="17">
        <f>'Assumption (Advisory)'!T54</f>
        <v>3050000</v>
      </c>
      <c r="E13" s="17">
        <f t="shared" ref="E13:O13" si="2">D13</f>
        <v>3050000</v>
      </c>
      <c r="F13" s="17">
        <f t="shared" si="2"/>
        <v>3050000</v>
      </c>
      <c r="G13" s="17">
        <f t="shared" si="2"/>
        <v>3050000</v>
      </c>
      <c r="H13" s="17">
        <f t="shared" si="2"/>
        <v>3050000</v>
      </c>
      <c r="I13" s="17">
        <f t="shared" si="2"/>
        <v>3050000</v>
      </c>
      <c r="J13" s="17">
        <f t="shared" si="2"/>
        <v>3050000</v>
      </c>
      <c r="K13" s="17">
        <f t="shared" si="2"/>
        <v>3050000</v>
      </c>
      <c r="L13" s="17">
        <f t="shared" si="2"/>
        <v>3050000</v>
      </c>
      <c r="M13" s="17">
        <f t="shared" si="2"/>
        <v>3050000</v>
      </c>
      <c r="N13" s="17">
        <f t="shared" si="2"/>
        <v>3050000</v>
      </c>
      <c r="O13" s="17">
        <f t="shared" si="2"/>
        <v>3050000</v>
      </c>
      <c r="P13" s="16">
        <f t="shared" ref="P13:P15" si="3">SUM(D13:O13)</f>
        <v>36600000</v>
      </c>
      <c r="Q13" s="17">
        <f>P13</f>
        <v>36600000</v>
      </c>
      <c r="R13" s="17">
        <f t="shared" ref="R13:T13" si="4">Q13</f>
        <v>36600000</v>
      </c>
      <c r="S13" s="17">
        <f t="shared" si="4"/>
        <v>36600000</v>
      </c>
      <c r="T13" s="17">
        <f t="shared" si="4"/>
        <v>36600000</v>
      </c>
      <c r="U13" s="5"/>
    </row>
    <row r="14" spans="1:25" x14ac:dyDescent="0.35">
      <c r="B14" s="27" t="s">
        <v>48</v>
      </c>
      <c r="C14" s="44">
        <v>0.01</v>
      </c>
      <c r="D14" s="17">
        <f>$C$14*D$9</f>
        <v>164166.66666666666</v>
      </c>
      <c r="E14" s="17">
        <f t="shared" ref="E14:O14" si="5">$C$14*E$9</f>
        <v>1514166.6666666665</v>
      </c>
      <c r="F14" s="17">
        <f t="shared" si="5"/>
        <v>164166.66666666666</v>
      </c>
      <c r="G14" s="17">
        <f t="shared" si="5"/>
        <v>164166.66666666666</v>
      </c>
      <c r="H14" s="17">
        <f t="shared" si="5"/>
        <v>1514166.6666666665</v>
      </c>
      <c r="I14" s="17">
        <f t="shared" si="5"/>
        <v>164166.66666666666</v>
      </c>
      <c r="J14" s="17">
        <f t="shared" si="5"/>
        <v>164166.66666666666</v>
      </c>
      <c r="K14" s="17">
        <f t="shared" si="5"/>
        <v>1514166.6666666665</v>
      </c>
      <c r="L14" s="17">
        <f t="shared" si="5"/>
        <v>164166.66666666666</v>
      </c>
      <c r="M14" s="17">
        <f t="shared" si="5"/>
        <v>164166.66666666666</v>
      </c>
      <c r="N14" s="17">
        <f t="shared" si="5"/>
        <v>1514166.6666666665</v>
      </c>
      <c r="O14" s="17">
        <f t="shared" si="5"/>
        <v>164166.66666666666</v>
      </c>
      <c r="P14" s="16">
        <f t="shared" si="3"/>
        <v>7369999.9999999991</v>
      </c>
      <c r="Q14" s="17">
        <f>$C$14*Q9</f>
        <v>10170599.999999998</v>
      </c>
      <c r="R14" s="17">
        <f t="shared" ref="R14:T14" si="6">$C$14*R9</f>
        <v>14035427.999999996</v>
      </c>
      <c r="S14" s="17">
        <f t="shared" si="6"/>
        <v>19368890.639999989</v>
      </c>
      <c r="T14" s="17">
        <f t="shared" si="6"/>
        <v>26729069.083199978</v>
      </c>
      <c r="U14" s="5"/>
    </row>
    <row r="15" spans="1:25" x14ac:dyDescent="0.35">
      <c r="B15" s="27" t="s">
        <v>45</v>
      </c>
      <c r="C15" s="44">
        <v>0</v>
      </c>
      <c r="D15" s="17">
        <f>$C$15*D$9</f>
        <v>0</v>
      </c>
      <c r="E15" s="17">
        <f t="shared" ref="E15:O15" si="7">D15</f>
        <v>0</v>
      </c>
      <c r="F15" s="17">
        <f t="shared" si="7"/>
        <v>0</v>
      </c>
      <c r="G15" s="17">
        <f t="shared" si="7"/>
        <v>0</v>
      </c>
      <c r="H15" s="17">
        <f t="shared" si="7"/>
        <v>0</v>
      </c>
      <c r="I15" s="17">
        <f t="shared" si="7"/>
        <v>0</v>
      </c>
      <c r="J15" s="17">
        <f t="shared" si="7"/>
        <v>0</v>
      </c>
      <c r="K15" s="17">
        <f t="shared" si="7"/>
        <v>0</v>
      </c>
      <c r="L15" s="17">
        <f t="shared" si="7"/>
        <v>0</v>
      </c>
      <c r="M15" s="17">
        <f t="shared" si="7"/>
        <v>0</v>
      </c>
      <c r="N15" s="17">
        <f t="shared" si="7"/>
        <v>0</v>
      </c>
      <c r="O15" s="17">
        <f t="shared" si="7"/>
        <v>0</v>
      </c>
      <c r="P15" s="16">
        <f t="shared" si="3"/>
        <v>0</v>
      </c>
      <c r="Q15" s="17"/>
      <c r="R15" s="17"/>
      <c r="S15" s="17"/>
      <c r="T15" s="17"/>
      <c r="U15" s="5"/>
    </row>
    <row r="16" spans="1:25" ht="16.5" thickBot="1" x14ac:dyDescent="0.4">
      <c r="B16" s="11"/>
      <c r="C16" s="11"/>
      <c r="D16" s="19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85"/>
      <c r="Q16" s="85"/>
      <c r="R16" s="85"/>
      <c r="S16" s="85"/>
      <c r="T16" s="85"/>
      <c r="U16" s="5"/>
    </row>
    <row r="17" spans="2:25" s="10" customFormat="1" ht="16.5" thickBot="1" x14ac:dyDescent="0.4">
      <c r="B17" s="11" t="s">
        <v>25</v>
      </c>
      <c r="C17" s="11"/>
      <c r="D17" s="25">
        <f t="shared" ref="D17:T17" si="8">SUM(D12:D15)</f>
        <v>11422499.999999998</v>
      </c>
      <c r="E17" s="25">
        <f t="shared" si="8"/>
        <v>80272500</v>
      </c>
      <c r="F17" s="25">
        <f t="shared" si="8"/>
        <v>11422499.999999998</v>
      </c>
      <c r="G17" s="25">
        <f t="shared" si="8"/>
        <v>11422499.999999998</v>
      </c>
      <c r="H17" s="25">
        <f t="shared" si="8"/>
        <v>80272500</v>
      </c>
      <c r="I17" s="25">
        <f t="shared" si="8"/>
        <v>11422499.999999998</v>
      </c>
      <c r="J17" s="25">
        <f t="shared" si="8"/>
        <v>11422499.999999998</v>
      </c>
      <c r="K17" s="25">
        <f t="shared" si="8"/>
        <v>80272500</v>
      </c>
      <c r="L17" s="25">
        <f t="shared" si="8"/>
        <v>11422499.999999998</v>
      </c>
      <c r="M17" s="25">
        <f t="shared" si="8"/>
        <v>11422499.999999998</v>
      </c>
      <c r="N17" s="25">
        <f t="shared" si="8"/>
        <v>80272500</v>
      </c>
      <c r="O17" s="25">
        <f t="shared" si="8"/>
        <v>11422499.999999998</v>
      </c>
      <c r="P17" s="18">
        <f>SUM(P12:P16)</f>
        <v>412469999.99999988</v>
      </c>
      <c r="Q17" s="18">
        <f t="shared" si="8"/>
        <v>452120599.99999994</v>
      </c>
      <c r="R17" s="18">
        <f t="shared" si="8"/>
        <v>599847827.99999988</v>
      </c>
      <c r="S17" s="18">
        <f t="shared" si="8"/>
        <v>813882002.63999975</v>
      </c>
      <c r="T17" s="18">
        <f t="shared" si="8"/>
        <v>1089880273.0031993</v>
      </c>
      <c r="U17" s="5"/>
      <c r="V17" s="6"/>
      <c r="W17" s="6"/>
      <c r="X17" s="6"/>
      <c r="Y17" s="6"/>
    </row>
    <row r="18" spans="2:25" x14ac:dyDescent="0.35"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91">
        <f>P17/P9</f>
        <v>0.55966078697421973</v>
      </c>
      <c r="Q18" s="17"/>
      <c r="R18" s="17"/>
      <c r="S18" s="17"/>
      <c r="T18" s="17"/>
      <c r="U18" s="5"/>
    </row>
    <row r="19" spans="2:25" ht="16.5" thickBot="1" x14ac:dyDescent="0.4">
      <c r="B19" s="11" t="s">
        <v>10</v>
      </c>
      <c r="C19" s="20"/>
      <c r="D19" s="25">
        <f t="shared" ref="D19:T19" si="9">D9-D17</f>
        <v>4994166.666666666</v>
      </c>
      <c r="E19" s="25">
        <f t="shared" si="9"/>
        <v>71144166.666666657</v>
      </c>
      <c r="F19" s="25">
        <f t="shared" si="9"/>
        <v>4994166.666666666</v>
      </c>
      <c r="G19" s="25">
        <f t="shared" si="9"/>
        <v>4994166.666666666</v>
      </c>
      <c r="H19" s="25">
        <f t="shared" si="9"/>
        <v>71144166.666666657</v>
      </c>
      <c r="I19" s="25">
        <f t="shared" si="9"/>
        <v>4994166.666666666</v>
      </c>
      <c r="J19" s="25">
        <f t="shared" si="9"/>
        <v>4994166.666666666</v>
      </c>
      <c r="K19" s="25">
        <f t="shared" si="9"/>
        <v>71144166.666666657</v>
      </c>
      <c r="L19" s="25">
        <f t="shared" si="9"/>
        <v>4994166.666666666</v>
      </c>
      <c r="M19" s="25">
        <f t="shared" si="9"/>
        <v>4994166.666666666</v>
      </c>
      <c r="N19" s="25">
        <f t="shared" si="9"/>
        <v>71144166.666666657</v>
      </c>
      <c r="O19" s="25">
        <f t="shared" si="9"/>
        <v>4994166.666666666</v>
      </c>
      <c r="P19" s="21">
        <f t="shared" si="9"/>
        <v>324530000</v>
      </c>
      <c r="Q19" s="21">
        <f t="shared" si="9"/>
        <v>564939399.99999976</v>
      </c>
      <c r="R19" s="21">
        <f t="shared" si="9"/>
        <v>803694971.99999964</v>
      </c>
      <c r="S19" s="21">
        <f t="shared" si="9"/>
        <v>1123007061.3599992</v>
      </c>
      <c r="T19" s="21">
        <f t="shared" si="9"/>
        <v>1583026635.3167984</v>
      </c>
      <c r="U19" s="5"/>
    </row>
    <row r="20" spans="2:25" x14ac:dyDescent="0.35"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91">
        <f>P19/P9</f>
        <v>0.44033921302578027</v>
      </c>
      <c r="Q20" s="17"/>
      <c r="R20" s="17"/>
      <c r="S20" s="17"/>
      <c r="T20" s="17"/>
      <c r="U20" s="5"/>
    </row>
    <row r="21" spans="2:25" ht="16.5" thickBot="1" x14ac:dyDescent="0.4">
      <c r="B21" s="11" t="s">
        <v>5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5"/>
    </row>
    <row r="22" spans="2:25" x14ac:dyDescent="0.4">
      <c r="B22" s="22" t="s">
        <v>77</v>
      </c>
      <c r="C22" s="44"/>
      <c r="D22" s="54">
        <f>VLOOKUP($B22,'Assumption (Advisory)'!$B:$O,3,FALSE)</f>
        <v>0</v>
      </c>
      <c r="E22" s="54">
        <f>D22</f>
        <v>0</v>
      </c>
      <c r="F22" s="54">
        <f t="shared" ref="F22:O22" si="10">E22</f>
        <v>0</v>
      </c>
      <c r="G22" s="54">
        <f t="shared" si="10"/>
        <v>0</v>
      </c>
      <c r="H22" s="54">
        <f t="shared" si="10"/>
        <v>0</v>
      </c>
      <c r="I22" s="54">
        <f t="shared" si="10"/>
        <v>0</v>
      </c>
      <c r="J22" s="54">
        <f t="shared" si="10"/>
        <v>0</v>
      </c>
      <c r="K22" s="54">
        <f t="shared" si="10"/>
        <v>0</v>
      </c>
      <c r="L22" s="54">
        <f t="shared" si="10"/>
        <v>0</v>
      </c>
      <c r="M22" s="54">
        <f t="shared" si="10"/>
        <v>0</v>
      </c>
      <c r="N22" s="54">
        <f t="shared" si="10"/>
        <v>0</v>
      </c>
      <c r="O22" s="54">
        <f t="shared" si="10"/>
        <v>0</v>
      </c>
      <c r="P22" s="59">
        <f>SUM(D22:O22)</f>
        <v>0</v>
      </c>
      <c r="Q22" s="17">
        <f>P22*(1+'Assumption (Advisory)'!E$58)</f>
        <v>0</v>
      </c>
      <c r="R22" s="17">
        <f>Q22*(1+'Assumption (Advisory)'!F$58)</f>
        <v>0</v>
      </c>
      <c r="S22" s="17">
        <f>R22*(1+'Assumption (Advisory)'!G$58)</f>
        <v>0</v>
      </c>
      <c r="T22" s="17">
        <f>S22*(1+'Assumption (Advisory)'!H$58)</f>
        <v>0</v>
      </c>
      <c r="U22" s="5"/>
    </row>
    <row r="23" spans="2:25" x14ac:dyDescent="0.4">
      <c r="B23" s="22" t="s">
        <v>69</v>
      </c>
      <c r="D23" s="54">
        <f>VLOOKUP($B23,'Assumption (Advisory)'!$B:$O,3,FALSE)</f>
        <v>0</v>
      </c>
      <c r="E23" s="54">
        <f t="shared" ref="E23:E33" si="11">D23</f>
        <v>0</v>
      </c>
      <c r="F23" s="54">
        <f t="shared" ref="F23:F33" si="12">E23</f>
        <v>0</v>
      </c>
      <c r="G23" s="54">
        <f t="shared" ref="G23:G33" si="13">F23</f>
        <v>0</v>
      </c>
      <c r="H23" s="54">
        <f t="shared" ref="H23:H33" si="14">G23</f>
        <v>0</v>
      </c>
      <c r="I23" s="54">
        <f t="shared" ref="I23:I33" si="15">H23</f>
        <v>0</v>
      </c>
      <c r="J23" s="54">
        <f t="shared" ref="J23:J33" si="16">I23</f>
        <v>0</v>
      </c>
      <c r="K23" s="54">
        <f t="shared" ref="K23:K33" si="17">J23</f>
        <v>0</v>
      </c>
      <c r="L23" s="54">
        <f t="shared" ref="L23:L33" si="18">K23</f>
        <v>0</v>
      </c>
      <c r="M23" s="54">
        <f t="shared" ref="M23:M33" si="19">L23</f>
        <v>0</v>
      </c>
      <c r="N23" s="54">
        <f t="shared" ref="N23:N33" si="20">M23</f>
        <v>0</v>
      </c>
      <c r="O23" s="54">
        <f t="shared" ref="O23:O33" si="21">N23</f>
        <v>0</v>
      </c>
      <c r="P23" s="16">
        <f t="shared" ref="P23:P33" si="22">SUM(D23:O23)</f>
        <v>0</v>
      </c>
      <c r="Q23" s="17">
        <f>P23*(1+'Assumption (Advisory)'!E$49)</f>
        <v>0</v>
      </c>
      <c r="R23" s="17">
        <f>Q23*(1+'Assumption (Advisory)'!F$49)</f>
        <v>0</v>
      </c>
      <c r="S23" s="17">
        <f>R23*(1+'Assumption (Advisory)'!G$49)</f>
        <v>0</v>
      </c>
      <c r="T23" s="17">
        <f>S23*(1+'Assumption (Advisory)'!H$49)</f>
        <v>0</v>
      </c>
      <c r="U23" s="5"/>
    </row>
    <row r="24" spans="2:25" x14ac:dyDescent="0.4">
      <c r="B24" s="22" t="s">
        <v>14</v>
      </c>
      <c r="D24" s="54">
        <f>VLOOKUP($B24,'Assumption (Advisory)'!$B:$O,3,FALSE)</f>
        <v>12283.333333333334</v>
      </c>
      <c r="E24" s="54">
        <f t="shared" si="11"/>
        <v>12283.333333333334</v>
      </c>
      <c r="F24" s="54">
        <f t="shared" si="12"/>
        <v>12283.333333333334</v>
      </c>
      <c r="G24" s="54">
        <f t="shared" si="13"/>
        <v>12283.333333333334</v>
      </c>
      <c r="H24" s="54">
        <f t="shared" si="14"/>
        <v>12283.333333333334</v>
      </c>
      <c r="I24" s="54">
        <f t="shared" si="15"/>
        <v>12283.333333333334</v>
      </c>
      <c r="J24" s="54">
        <f t="shared" si="16"/>
        <v>12283.333333333334</v>
      </c>
      <c r="K24" s="54">
        <f t="shared" si="17"/>
        <v>12283.333333333334</v>
      </c>
      <c r="L24" s="54">
        <f t="shared" si="18"/>
        <v>12283.333333333334</v>
      </c>
      <c r="M24" s="54">
        <f t="shared" si="19"/>
        <v>12283.333333333334</v>
      </c>
      <c r="N24" s="54">
        <f t="shared" si="20"/>
        <v>12283.333333333334</v>
      </c>
      <c r="O24" s="54">
        <f t="shared" si="21"/>
        <v>12283.333333333334</v>
      </c>
      <c r="P24" s="16">
        <f t="shared" si="22"/>
        <v>147400</v>
      </c>
      <c r="Q24" s="17">
        <f>P24*(1+'Assumption (Advisory)'!E$49)</f>
        <v>169510</v>
      </c>
      <c r="R24" s="17">
        <f>Q24*(1+'Assumption (Advisory)'!F$49)</f>
        <v>194936.49999999997</v>
      </c>
      <c r="S24" s="17">
        <f>R24*(1+'Assumption (Advisory)'!G$49)</f>
        <v>224176.97499999995</v>
      </c>
      <c r="T24" s="17">
        <f>S24*(1+'Assumption (Advisory)'!H$49)</f>
        <v>257803.52124999993</v>
      </c>
      <c r="U24" s="5"/>
    </row>
    <row r="25" spans="2:25" x14ac:dyDescent="0.4">
      <c r="B25" s="22" t="s">
        <v>49</v>
      </c>
      <c r="D25" s="54">
        <f>VLOOKUP($B25,'Assumption (Advisory)'!$B:$O,3,FALSE)</f>
        <v>100000</v>
      </c>
      <c r="E25" s="54">
        <f t="shared" si="11"/>
        <v>100000</v>
      </c>
      <c r="F25" s="54">
        <f t="shared" si="12"/>
        <v>100000</v>
      </c>
      <c r="G25" s="54">
        <f t="shared" si="13"/>
        <v>100000</v>
      </c>
      <c r="H25" s="54">
        <f t="shared" si="14"/>
        <v>100000</v>
      </c>
      <c r="I25" s="54">
        <f t="shared" si="15"/>
        <v>100000</v>
      </c>
      <c r="J25" s="54">
        <f t="shared" si="16"/>
        <v>100000</v>
      </c>
      <c r="K25" s="54">
        <f t="shared" si="17"/>
        <v>100000</v>
      </c>
      <c r="L25" s="54">
        <f t="shared" si="18"/>
        <v>100000</v>
      </c>
      <c r="M25" s="54">
        <f t="shared" si="19"/>
        <v>100000</v>
      </c>
      <c r="N25" s="54">
        <f t="shared" si="20"/>
        <v>100000</v>
      </c>
      <c r="O25" s="54">
        <f t="shared" si="21"/>
        <v>100000</v>
      </c>
      <c r="P25" s="16">
        <f t="shared" si="22"/>
        <v>1200000</v>
      </c>
      <c r="Q25" s="17">
        <f>P25*(1+'Assumption (Advisory)'!E$49)</f>
        <v>1380000</v>
      </c>
      <c r="R25" s="17">
        <f>Q25*(1+'Assumption (Advisory)'!F$49)</f>
        <v>1586999.9999999998</v>
      </c>
      <c r="S25" s="17">
        <f>R25*(1+'Assumption (Advisory)'!G$49)</f>
        <v>1825049.9999999995</v>
      </c>
      <c r="T25" s="17">
        <f>S25*(1+'Assumption (Advisory)'!H$49)</f>
        <v>2098807.4999999995</v>
      </c>
      <c r="U25" s="5"/>
    </row>
    <row r="26" spans="2:25" x14ac:dyDescent="0.4">
      <c r="B26" s="22" t="s">
        <v>37</v>
      </c>
      <c r="D26" s="54">
        <f>VLOOKUP($B26,'Assumption (Advisory)'!$B:$O,3,FALSE)</f>
        <v>0</v>
      </c>
      <c r="E26" s="54">
        <f t="shared" si="11"/>
        <v>0</v>
      </c>
      <c r="F26" s="54">
        <f t="shared" si="12"/>
        <v>0</v>
      </c>
      <c r="G26" s="54">
        <f t="shared" si="13"/>
        <v>0</v>
      </c>
      <c r="H26" s="54">
        <f t="shared" si="14"/>
        <v>0</v>
      </c>
      <c r="I26" s="54">
        <f t="shared" si="15"/>
        <v>0</v>
      </c>
      <c r="J26" s="54">
        <f t="shared" si="16"/>
        <v>0</v>
      </c>
      <c r="K26" s="54">
        <f t="shared" si="17"/>
        <v>0</v>
      </c>
      <c r="L26" s="54">
        <f t="shared" si="18"/>
        <v>0</v>
      </c>
      <c r="M26" s="54">
        <f t="shared" si="19"/>
        <v>0</v>
      </c>
      <c r="N26" s="54">
        <f t="shared" si="20"/>
        <v>0</v>
      </c>
      <c r="O26" s="54">
        <f t="shared" si="21"/>
        <v>0</v>
      </c>
      <c r="P26" s="16">
        <f t="shared" si="22"/>
        <v>0</v>
      </c>
      <c r="Q26" s="17">
        <f>P26*(1+'Assumption (Advisory)'!E$49)</f>
        <v>0</v>
      </c>
      <c r="R26" s="17">
        <f>Q26*(1+'Assumption (Advisory)'!F$49)</f>
        <v>0</v>
      </c>
      <c r="S26" s="17">
        <f>R26*(1+'Assumption (Advisory)'!G$49)</f>
        <v>0</v>
      </c>
      <c r="T26" s="17">
        <f>S26*(1+'Assumption (Advisory)'!H$49)</f>
        <v>0</v>
      </c>
      <c r="U26" s="5"/>
    </row>
    <row r="27" spans="2:25" x14ac:dyDescent="0.4">
      <c r="B27" s="22" t="s">
        <v>13</v>
      </c>
      <c r="D27" s="54">
        <f>VLOOKUP($B27,'Assumption (Advisory)'!$B:$O,3,FALSE)</f>
        <v>50000</v>
      </c>
      <c r="E27" s="54">
        <f t="shared" si="11"/>
        <v>50000</v>
      </c>
      <c r="F27" s="54">
        <f t="shared" si="12"/>
        <v>50000</v>
      </c>
      <c r="G27" s="54">
        <f t="shared" si="13"/>
        <v>50000</v>
      </c>
      <c r="H27" s="54">
        <f t="shared" si="14"/>
        <v>50000</v>
      </c>
      <c r="I27" s="54">
        <f t="shared" si="15"/>
        <v>50000</v>
      </c>
      <c r="J27" s="54">
        <f t="shared" si="16"/>
        <v>50000</v>
      </c>
      <c r="K27" s="54">
        <f t="shared" si="17"/>
        <v>50000</v>
      </c>
      <c r="L27" s="54">
        <f t="shared" si="18"/>
        <v>50000</v>
      </c>
      <c r="M27" s="54">
        <f t="shared" si="19"/>
        <v>50000</v>
      </c>
      <c r="N27" s="54">
        <f t="shared" si="20"/>
        <v>50000</v>
      </c>
      <c r="O27" s="54">
        <f t="shared" si="21"/>
        <v>50000</v>
      </c>
      <c r="P27" s="16">
        <f t="shared" si="22"/>
        <v>600000</v>
      </c>
      <c r="Q27" s="17">
        <f>P27*(1+'Assumption (Advisory)'!E$49)</f>
        <v>690000</v>
      </c>
      <c r="R27" s="17">
        <f>Q27*(1+'Assumption (Advisory)'!F$49)</f>
        <v>793499.99999999988</v>
      </c>
      <c r="S27" s="17">
        <f>R27*(1+'Assumption (Advisory)'!G$49)</f>
        <v>912524.99999999977</v>
      </c>
      <c r="T27" s="17">
        <f>S27*(1+'Assumption (Advisory)'!H$49)</f>
        <v>1049403.7499999998</v>
      </c>
      <c r="U27" s="5"/>
    </row>
    <row r="28" spans="2:25" x14ac:dyDescent="0.4">
      <c r="B28" s="22" t="s">
        <v>27</v>
      </c>
      <c r="D28" s="54">
        <f>VLOOKUP($B28,'Assumption (Advisory)'!$B:$O,3,FALSE)</f>
        <v>0</v>
      </c>
      <c r="E28" s="54">
        <f t="shared" si="11"/>
        <v>0</v>
      </c>
      <c r="F28" s="54">
        <f t="shared" si="12"/>
        <v>0</v>
      </c>
      <c r="G28" s="54">
        <f t="shared" si="13"/>
        <v>0</v>
      </c>
      <c r="H28" s="54">
        <f t="shared" si="14"/>
        <v>0</v>
      </c>
      <c r="I28" s="54">
        <f t="shared" si="15"/>
        <v>0</v>
      </c>
      <c r="J28" s="54">
        <f t="shared" si="16"/>
        <v>0</v>
      </c>
      <c r="K28" s="54">
        <f t="shared" si="17"/>
        <v>0</v>
      </c>
      <c r="L28" s="54">
        <f t="shared" si="18"/>
        <v>0</v>
      </c>
      <c r="M28" s="54">
        <f t="shared" si="19"/>
        <v>0</v>
      </c>
      <c r="N28" s="54">
        <f t="shared" si="20"/>
        <v>0</v>
      </c>
      <c r="O28" s="54">
        <f t="shared" si="21"/>
        <v>0</v>
      </c>
      <c r="P28" s="16">
        <f t="shared" si="22"/>
        <v>0</v>
      </c>
      <c r="Q28" s="17">
        <f>P28*(1+'Assumption (Advisory)'!E$49)</f>
        <v>0</v>
      </c>
      <c r="R28" s="17">
        <f>Q28*(1+'Assumption (Advisory)'!F$49)</f>
        <v>0</v>
      </c>
      <c r="S28" s="17">
        <f>R28*(1+'Assumption (Advisory)'!G$49)</f>
        <v>0</v>
      </c>
      <c r="T28" s="17">
        <f>S28*(1+'Assumption (Advisory)'!H$49)</f>
        <v>0</v>
      </c>
      <c r="U28" s="5"/>
    </row>
    <row r="29" spans="2:25" x14ac:dyDescent="0.4">
      <c r="B29" s="22" t="s">
        <v>89</v>
      </c>
      <c r="D29" s="54">
        <f>VLOOKUP($B29,'Assumption (Advisory)'!$B:$O,3,FALSE)</f>
        <v>0</v>
      </c>
      <c r="E29" s="54">
        <f t="shared" si="11"/>
        <v>0</v>
      </c>
      <c r="F29" s="54">
        <f t="shared" si="12"/>
        <v>0</v>
      </c>
      <c r="G29" s="54">
        <f t="shared" si="13"/>
        <v>0</v>
      </c>
      <c r="H29" s="54">
        <f t="shared" si="14"/>
        <v>0</v>
      </c>
      <c r="I29" s="54">
        <f t="shared" si="15"/>
        <v>0</v>
      </c>
      <c r="J29" s="54">
        <f t="shared" si="16"/>
        <v>0</v>
      </c>
      <c r="K29" s="54">
        <f t="shared" si="17"/>
        <v>0</v>
      </c>
      <c r="L29" s="54">
        <f t="shared" si="18"/>
        <v>0</v>
      </c>
      <c r="M29" s="54">
        <f t="shared" si="19"/>
        <v>0</v>
      </c>
      <c r="N29" s="54">
        <f t="shared" si="20"/>
        <v>0</v>
      </c>
      <c r="O29" s="54">
        <f t="shared" si="21"/>
        <v>0</v>
      </c>
      <c r="P29" s="16">
        <f t="shared" si="22"/>
        <v>0</v>
      </c>
      <c r="Q29" s="17">
        <f>P29*(1+'Assumption (Advisory)'!E$49)</f>
        <v>0</v>
      </c>
      <c r="R29" s="17">
        <f>Q29*(1+'Assumption (Advisory)'!F$49)</f>
        <v>0</v>
      </c>
      <c r="S29" s="17">
        <f>R29*(1+'Assumption (Advisory)'!G$49)</f>
        <v>0</v>
      </c>
      <c r="T29" s="17">
        <f>S29*(1+'Assumption (Advisory)'!H$49)</f>
        <v>0</v>
      </c>
      <c r="U29" s="5"/>
    </row>
    <row r="30" spans="2:25" x14ac:dyDescent="0.4">
      <c r="B30" s="22" t="s">
        <v>12</v>
      </c>
      <c r="D30" s="54">
        <f>VLOOKUP($B30,'Assumption (Advisory)'!$B:$O,3,FALSE)</f>
        <v>0</v>
      </c>
      <c r="E30" s="54">
        <f t="shared" si="11"/>
        <v>0</v>
      </c>
      <c r="F30" s="54">
        <f t="shared" si="12"/>
        <v>0</v>
      </c>
      <c r="G30" s="54">
        <f t="shared" si="13"/>
        <v>0</v>
      </c>
      <c r="H30" s="54">
        <f t="shared" si="14"/>
        <v>0</v>
      </c>
      <c r="I30" s="54">
        <f t="shared" si="15"/>
        <v>0</v>
      </c>
      <c r="J30" s="54">
        <f t="shared" si="16"/>
        <v>0</v>
      </c>
      <c r="K30" s="54">
        <f t="shared" si="17"/>
        <v>0</v>
      </c>
      <c r="L30" s="54">
        <f t="shared" si="18"/>
        <v>0</v>
      </c>
      <c r="M30" s="54">
        <f t="shared" si="19"/>
        <v>0</v>
      </c>
      <c r="N30" s="54">
        <f t="shared" si="20"/>
        <v>0</v>
      </c>
      <c r="O30" s="54">
        <f t="shared" si="21"/>
        <v>0</v>
      </c>
      <c r="P30" s="16">
        <f t="shared" si="22"/>
        <v>0</v>
      </c>
      <c r="Q30" s="17">
        <f>P30*(1+'Assumption (Advisory)'!E$49)</f>
        <v>0</v>
      </c>
      <c r="R30" s="17">
        <f>Q30*(1+'Assumption (Advisory)'!F$49)</f>
        <v>0</v>
      </c>
      <c r="S30" s="17">
        <f>R30*(1+'Assumption (Advisory)'!G$49)</f>
        <v>0</v>
      </c>
      <c r="T30" s="17">
        <f>S30*(1+'Assumption (Advisory)'!H$49)</f>
        <v>0</v>
      </c>
      <c r="U30" s="5"/>
    </row>
    <row r="31" spans="2:25" x14ac:dyDescent="0.4">
      <c r="B31" s="22" t="s">
        <v>11</v>
      </c>
      <c r="D31" s="54">
        <f>VLOOKUP($B31,'Assumption (Advisory)'!$B:$O,3,FALSE)</f>
        <v>0</v>
      </c>
      <c r="E31" s="54">
        <f t="shared" si="11"/>
        <v>0</v>
      </c>
      <c r="F31" s="54">
        <f t="shared" si="12"/>
        <v>0</v>
      </c>
      <c r="G31" s="54">
        <f t="shared" si="13"/>
        <v>0</v>
      </c>
      <c r="H31" s="54">
        <f t="shared" si="14"/>
        <v>0</v>
      </c>
      <c r="I31" s="54">
        <f t="shared" si="15"/>
        <v>0</v>
      </c>
      <c r="J31" s="54">
        <f t="shared" si="16"/>
        <v>0</v>
      </c>
      <c r="K31" s="54">
        <f t="shared" si="17"/>
        <v>0</v>
      </c>
      <c r="L31" s="54">
        <f t="shared" si="18"/>
        <v>0</v>
      </c>
      <c r="M31" s="54">
        <f t="shared" si="19"/>
        <v>0</v>
      </c>
      <c r="N31" s="54">
        <f t="shared" si="20"/>
        <v>0</v>
      </c>
      <c r="O31" s="54">
        <f t="shared" si="21"/>
        <v>0</v>
      </c>
      <c r="P31" s="16">
        <f t="shared" si="22"/>
        <v>0</v>
      </c>
      <c r="Q31" s="17">
        <f>P31*(1+'Assumption (Advisory)'!E$49)</f>
        <v>0</v>
      </c>
      <c r="R31" s="17">
        <f>Q31*(1+'Assumption (Advisory)'!F$49)</f>
        <v>0</v>
      </c>
      <c r="S31" s="17">
        <f>R31*(1+'Assumption (Advisory)'!G$49)</f>
        <v>0</v>
      </c>
      <c r="T31" s="17">
        <f>S31*(1+'Assumption (Advisory)'!H$49)</f>
        <v>0</v>
      </c>
      <c r="U31" s="5"/>
    </row>
    <row r="32" spans="2:25" x14ac:dyDescent="0.4">
      <c r="B32" s="22" t="s">
        <v>50</v>
      </c>
      <c r="D32" s="54">
        <f>VLOOKUP($B32,'Assumption (Advisory)'!$B:$O,3,FALSE)</f>
        <v>300000</v>
      </c>
      <c r="E32" s="54">
        <f t="shared" si="11"/>
        <v>300000</v>
      </c>
      <c r="F32" s="54">
        <f t="shared" si="12"/>
        <v>300000</v>
      </c>
      <c r="G32" s="54">
        <f t="shared" si="13"/>
        <v>300000</v>
      </c>
      <c r="H32" s="54">
        <f t="shared" si="14"/>
        <v>300000</v>
      </c>
      <c r="I32" s="54">
        <f t="shared" si="15"/>
        <v>300000</v>
      </c>
      <c r="J32" s="54">
        <f t="shared" si="16"/>
        <v>300000</v>
      </c>
      <c r="K32" s="54">
        <f t="shared" si="17"/>
        <v>300000</v>
      </c>
      <c r="L32" s="54">
        <f t="shared" si="18"/>
        <v>300000</v>
      </c>
      <c r="M32" s="54">
        <f t="shared" si="19"/>
        <v>300000</v>
      </c>
      <c r="N32" s="54">
        <f t="shared" si="20"/>
        <v>300000</v>
      </c>
      <c r="O32" s="54">
        <f t="shared" si="21"/>
        <v>300000</v>
      </c>
      <c r="P32" s="16">
        <f t="shared" si="22"/>
        <v>3600000</v>
      </c>
      <c r="Q32" s="17">
        <f>P32*(1+'Assumption (Advisory)'!E$49)</f>
        <v>4139999.9999999995</v>
      </c>
      <c r="R32" s="17">
        <f>Q32*(1+'Assumption (Advisory)'!F$49)</f>
        <v>4760999.9999999991</v>
      </c>
      <c r="S32" s="17">
        <f>R32*(1+'Assumption (Advisory)'!G$49)</f>
        <v>5475149.9999999981</v>
      </c>
      <c r="T32" s="17">
        <f>S32*(1+'Assumption (Advisory)'!H$49)</f>
        <v>6296422.4999999972</v>
      </c>
      <c r="U32" s="5"/>
    </row>
    <row r="33" spans="2:21" x14ac:dyDescent="0.4">
      <c r="B33" s="22" t="s">
        <v>51</v>
      </c>
      <c r="D33" s="54">
        <f>VLOOKUP($B33,'Assumption (Advisory)'!$B:$O,3,FALSE)</f>
        <v>135000</v>
      </c>
      <c r="E33" s="54">
        <f t="shared" si="11"/>
        <v>135000</v>
      </c>
      <c r="F33" s="54">
        <f t="shared" si="12"/>
        <v>135000</v>
      </c>
      <c r="G33" s="54">
        <f t="shared" si="13"/>
        <v>135000</v>
      </c>
      <c r="H33" s="54">
        <f t="shared" si="14"/>
        <v>135000</v>
      </c>
      <c r="I33" s="54">
        <f t="shared" si="15"/>
        <v>135000</v>
      </c>
      <c r="J33" s="54">
        <f t="shared" si="16"/>
        <v>135000</v>
      </c>
      <c r="K33" s="54">
        <f t="shared" si="17"/>
        <v>135000</v>
      </c>
      <c r="L33" s="54">
        <f t="shared" si="18"/>
        <v>135000</v>
      </c>
      <c r="M33" s="54">
        <f t="shared" si="19"/>
        <v>135000</v>
      </c>
      <c r="N33" s="54">
        <f t="shared" si="20"/>
        <v>135000</v>
      </c>
      <c r="O33" s="54">
        <f t="shared" si="21"/>
        <v>135000</v>
      </c>
      <c r="P33" s="16">
        <f t="shared" si="22"/>
        <v>1620000</v>
      </c>
      <c r="Q33" s="17">
        <f>P33*(1+'Assumption (Advisory)'!E$49)</f>
        <v>1862999.9999999998</v>
      </c>
      <c r="R33" s="17">
        <f>Q33*(1+'Assumption (Advisory)'!F$49)</f>
        <v>2142449.9999999995</v>
      </c>
      <c r="S33" s="17">
        <f>R33*(1+'Assumption (Advisory)'!G$49)</f>
        <v>2463817.4999999991</v>
      </c>
      <c r="T33" s="17">
        <f>S33*(1+'Assumption (Advisory)'!H$49)</f>
        <v>2833390.1249999986</v>
      </c>
      <c r="U33" s="5"/>
    </row>
    <row r="34" spans="2:21" x14ac:dyDescent="0.35">
      <c r="B34" s="27" t="s">
        <v>68</v>
      </c>
      <c r="D34" s="54">
        <f>VLOOKUP($B34,'Assumption (Advisory)'!$B:$O,3,FALSE)</f>
        <v>700000</v>
      </c>
      <c r="E34" s="54">
        <f t="shared" ref="E34" si="23">D34</f>
        <v>700000</v>
      </c>
      <c r="F34" s="54">
        <f t="shared" ref="F34" si="24">E34</f>
        <v>700000</v>
      </c>
      <c r="G34" s="54">
        <f t="shared" ref="G34" si="25">F34</f>
        <v>700000</v>
      </c>
      <c r="H34" s="54">
        <f t="shared" ref="H34" si="26">G34</f>
        <v>700000</v>
      </c>
      <c r="I34" s="54">
        <f t="shared" ref="I34" si="27">H34</f>
        <v>700000</v>
      </c>
      <c r="J34" s="54">
        <f t="shared" ref="J34" si="28">I34</f>
        <v>700000</v>
      </c>
      <c r="K34" s="54">
        <f t="shared" ref="K34" si="29">J34</f>
        <v>700000</v>
      </c>
      <c r="L34" s="54">
        <f t="shared" ref="L34" si="30">K34</f>
        <v>700000</v>
      </c>
      <c r="M34" s="54">
        <f t="shared" ref="M34" si="31">L34</f>
        <v>700000</v>
      </c>
      <c r="N34" s="54">
        <f t="shared" ref="N34" si="32">M34</f>
        <v>700000</v>
      </c>
      <c r="O34" s="54">
        <f t="shared" ref="O34" si="33">N34</f>
        <v>700000</v>
      </c>
      <c r="P34" s="16">
        <f t="shared" ref="P34" si="34">SUM(D34:O34)</f>
        <v>8400000</v>
      </c>
      <c r="Q34" s="17">
        <f>P34*(1+'Assumption (Advisory)'!E$49)</f>
        <v>9660000</v>
      </c>
      <c r="R34" s="17">
        <f>Q34*(1+'Assumption (Advisory)'!F$49)</f>
        <v>11109000</v>
      </c>
      <c r="S34" s="17">
        <f>R34*(1+'Assumption (Advisory)'!G$49)</f>
        <v>12775349.999999998</v>
      </c>
      <c r="T34" s="17">
        <f>S34*(1+'Assumption (Advisory)'!H$49)</f>
        <v>14691652.499999996</v>
      </c>
      <c r="U34" s="5"/>
    </row>
    <row r="35" spans="2:21" ht="16.5" thickBot="1" x14ac:dyDescent="0.4">
      <c r="B35" s="23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5"/>
    </row>
    <row r="36" spans="2:21" ht="16.5" thickBot="1" x14ac:dyDescent="0.4">
      <c r="B36" s="24" t="s">
        <v>19</v>
      </c>
      <c r="C36" s="19"/>
      <c r="D36" s="46">
        <f t="shared" ref="D36:N36" si="35">SUM(D22:D34)</f>
        <v>1297283.3333333333</v>
      </c>
      <c r="E36" s="46">
        <f t="shared" si="35"/>
        <v>1297283.3333333333</v>
      </c>
      <c r="F36" s="46">
        <f t="shared" si="35"/>
        <v>1297283.3333333333</v>
      </c>
      <c r="G36" s="46">
        <f t="shared" si="35"/>
        <v>1297283.3333333333</v>
      </c>
      <c r="H36" s="46">
        <f t="shared" si="35"/>
        <v>1297283.3333333333</v>
      </c>
      <c r="I36" s="46">
        <f t="shared" si="35"/>
        <v>1297283.3333333333</v>
      </c>
      <c r="J36" s="46">
        <f t="shared" si="35"/>
        <v>1297283.3333333333</v>
      </c>
      <c r="K36" s="46">
        <f t="shared" si="35"/>
        <v>1297283.3333333333</v>
      </c>
      <c r="L36" s="46">
        <f t="shared" si="35"/>
        <v>1297283.3333333333</v>
      </c>
      <c r="M36" s="46">
        <f t="shared" si="35"/>
        <v>1297283.3333333333</v>
      </c>
      <c r="N36" s="46">
        <f t="shared" si="35"/>
        <v>1297283.3333333333</v>
      </c>
      <c r="O36" s="46">
        <f>SUM(O22:O34)</f>
        <v>1297283.3333333333</v>
      </c>
      <c r="P36" s="46">
        <f>SUM(P22:P34)</f>
        <v>15567400</v>
      </c>
      <c r="Q36" s="19">
        <f>SUM(Q23:Q34)</f>
        <v>17902510</v>
      </c>
      <c r="R36" s="19">
        <f t="shared" ref="R36:T36" si="36">SUM(R23:R34)</f>
        <v>20587886.5</v>
      </c>
      <c r="S36" s="19">
        <f t="shared" si="36"/>
        <v>23676069.474999994</v>
      </c>
      <c r="T36" s="19">
        <f t="shared" si="36"/>
        <v>27227479.896249991</v>
      </c>
      <c r="U36" s="5"/>
    </row>
    <row r="37" spans="2:21" ht="16.5" thickBot="1" x14ac:dyDescent="0.4">
      <c r="B37" s="23"/>
      <c r="C37" s="19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5"/>
    </row>
    <row r="38" spans="2:21" ht="16.5" thickBot="1" x14ac:dyDescent="0.4">
      <c r="B38" s="24" t="s">
        <v>6</v>
      </c>
      <c r="C38" s="19"/>
      <c r="D38" s="46">
        <f t="shared" ref="D38:T38" si="37">D19-D36</f>
        <v>3696883.333333333</v>
      </c>
      <c r="E38" s="46">
        <f t="shared" si="37"/>
        <v>69846883.333333328</v>
      </c>
      <c r="F38" s="46">
        <f t="shared" si="37"/>
        <v>3696883.333333333</v>
      </c>
      <c r="G38" s="46">
        <f t="shared" si="37"/>
        <v>3696883.333333333</v>
      </c>
      <c r="H38" s="46">
        <f t="shared" si="37"/>
        <v>69846883.333333328</v>
      </c>
      <c r="I38" s="46">
        <f t="shared" si="37"/>
        <v>3696883.333333333</v>
      </c>
      <c r="J38" s="46">
        <f t="shared" si="37"/>
        <v>3696883.333333333</v>
      </c>
      <c r="K38" s="46">
        <f t="shared" si="37"/>
        <v>69846883.333333328</v>
      </c>
      <c r="L38" s="46">
        <f t="shared" si="37"/>
        <v>3696883.333333333</v>
      </c>
      <c r="M38" s="46">
        <f t="shared" si="37"/>
        <v>3696883.333333333</v>
      </c>
      <c r="N38" s="46">
        <f t="shared" si="37"/>
        <v>69846883.333333328</v>
      </c>
      <c r="O38" s="46">
        <f t="shared" si="37"/>
        <v>3696883.333333333</v>
      </c>
      <c r="P38" s="46">
        <f t="shared" si="37"/>
        <v>308962600</v>
      </c>
      <c r="Q38" s="46">
        <f t="shared" si="37"/>
        <v>547036889.99999976</v>
      </c>
      <c r="R38" s="46">
        <f t="shared" si="37"/>
        <v>783107085.49999964</v>
      </c>
      <c r="S38" s="46">
        <f t="shared" si="37"/>
        <v>1099330991.8849993</v>
      </c>
      <c r="T38" s="46">
        <f t="shared" si="37"/>
        <v>1555799155.4205484</v>
      </c>
      <c r="U38" s="5"/>
    </row>
    <row r="39" spans="2:21" x14ac:dyDescent="0.35">
      <c r="B39" s="47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Q39" s="17"/>
      <c r="R39" s="17"/>
      <c r="S39" s="17"/>
      <c r="T39" s="17"/>
      <c r="U39" s="5"/>
    </row>
    <row r="40" spans="2:21" x14ac:dyDescent="0.35">
      <c r="B40" s="47" t="s">
        <v>52</v>
      </c>
      <c r="D40" s="54">
        <f>VLOOKUP($B40,'Assumption (Advisory)'!$B:$O,3,FALSE)</f>
        <v>31250</v>
      </c>
      <c r="E40" s="54">
        <f t="shared" ref="E40" si="38">D40</f>
        <v>31250</v>
      </c>
      <c r="F40" s="54">
        <f t="shared" ref="F40" si="39">E40</f>
        <v>31250</v>
      </c>
      <c r="G40" s="54">
        <f t="shared" ref="G40" si="40">F40</f>
        <v>31250</v>
      </c>
      <c r="H40" s="54">
        <f t="shared" ref="H40" si="41">G40</f>
        <v>31250</v>
      </c>
      <c r="I40" s="54">
        <f t="shared" ref="I40" si="42">H40</f>
        <v>31250</v>
      </c>
      <c r="J40" s="54">
        <f t="shared" ref="J40" si="43">I40</f>
        <v>31250</v>
      </c>
      <c r="K40" s="54">
        <f t="shared" ref="K40" si="44">J40</f>
        <v>31250</v>
      </c>
      <c r="L40" s="54">
        <f t="shared" ref="L40" si="45">K40</f>
        <v>31250</v>
      </c>
      <c r="M40" s="54">
        <f t="shared" ref="M40" si="46">L40</f>
        <v>31250</v>
      </c>
      <c r="N40" s="54">
        <f t="shared" ref="N40" si="47">M40</f>
        <v>31250</v>
      </c>
      <c r="O40" s="54">
        <f t="shared" ref="O40" si="48">N40</f>
        <v>31250</v>
      </c>
      <c r="P40" s="16">
        <f t="shared" ref="P40" si="49">SUM(D40:O40)</f>
        <v>375000</v>
      </c>
      <c r="Q40" s="17">
        <f>P40*(1+'Assumption (Advisory)'!E$49)</f>
        <v>431249.99999999994</v>
      </c>
      <c r="R40" s="17">
        <f>Q40*(1+'Assumption (Advisory)'!F$49)</f>
        <v>495937.49999999988</v>
      </c>
      <c r="S40" s="17">
        <f>R40*(1+'Assumption (Advisory)'!G$49)</f>
        <v>570328.12499999977</v>
      </c>
      <c r="T40" s="17">
        <f>S40*(1+'Assumption (Advisory)'!H$49)</f>
        <v>655877.34374999965</v>
      </c>
      <c r="U40" s="5"/>
    </row>
    <row r="41" spans="2:21" ht="16.5" thickBot="1" x14ac:dyDescent="0.4">
      <c r="B41" s="11"/>
      <c r="C41" s="20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50"/>
      <c r="Q41" s="21"/>
      <c r="R41" s="21"/>
      <c r="S41" s="21"/>
      <c r="T41" s="21"/>
      <c r="U41" s="5"/>
    </row>
    <row r="42" spans="2:21" ht="16.5" thickBot="1" x14ac:dyDescent="0.4">
      <c r="B42" s="11" t="s">
        <v>54</v>
      </c>
      <c r="C42" s="20"/>
      <c r="D42" s="46">
        <f>D38-D40</f>
        <v>3665633.333333333</v>
      </c>
      <c r="E42" s="46">
        <f t="shared" ref="E42:T42" si="50">E38-E40</f>
        <v>69815633.333333328</v>
      </c>
      <c r="F42" s="46">
        <f t="shared" si="50"/>
        <v>3665633.333333333</v>
      </c>
      <c r="G42" s="46">
        <f t="shared" si="50"/>
        <v>3665633.333333333</v>
      </c>
      <c r="H42" s="46">
        <f t="shared" si="50"/>
        <v>69815633.333333328</v>
      </c>
      <c r="I42" s="46">
        <f t="shared" si="50"/>
        <v>3665633.333333333</v>
      </c>
      <c r="J42" s="46">
        <f t="shared" si="50"/>
        <v>3665633.333333333</v>
      </c>
      <c r="K42" s="46">
        <f t="shared" si="50"/>
        <v>69815633.333333328</v>
      </c>
      <c r="L42" s="46">
        <f t="shared" si="50"/>
        <v>3665633.333333333</v>
      </c>
      <c r="M42" s="46">
        <f t="shared" si="50"/>
        <v>3665633.333333333</v>
      </c>
      <c r="N42" s="46">
        <f t="shared" si="50"/>
        <v>69815633.333333328</v>
      </c>
      <c r="O42" s="46">
        <f t="shared" si="50"/>
        <v>3665633.333333333</v>
      </c>
      <c r="P42" s="46">
        <f t="shared" si="50"/>
        <v>308587600</v>
      </c>
      <c r="Q42" s="46">
        <f t="shared" si="50"/>
        <v>546605639.99999976</v>
      </c>
      <c r="R42" s="46">
        <f t="shared" si="50"/>
        <v>782611147.99999964</v>
      </c>
      <c r="S42" s="46">
        <f t="shared" si="50"/>
        <v>1098760663.7599993</v>
      </c>
      <c r="T42" s="46">
        <f t="shared" si="50"/>
        <v>1555143278.0767984</v>
      </c>
      <c r="U42" s="5"/>
    </row>
    <row r="43" spans="2:21" ht="16.5" thickBot="1" x14ac:dyDescent="0.4">
      <c r="B43" s="11"/>
      <c r="C43" s="20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91">
        <f>P42/P9</f>
        <v>0.41870773405698786</v>
      </c>
      <c r="Q43" s="86"/>
      <c r="R43" s="86"/>
      <c r="S43" s="86"/>
      <c r="T43" s="86"/>
      <c r="U43" s="5"/>
    </row>
    <row r="44" spans="2:21" ht="16.5" hidden="1" thickBot="1" x14ac:dyDescent="0.4">
      <c r="B44" s="11" t="s">
        <v>21</v>
      </c>
      <c r="C44" s="20"/>
      <c r="D44" s="46">
        <f>D42</f>
        <v>3665633.333333333</v>
      </c>
      <c r="E44" s="46">
        <f>D44+E42</f>
        <v>73481266.666666657</v>
      </c>
      <c r="F44" s="46">
        <f t="shared" ref="F44:O44" si="51">E44+F42</f>
        <v>77146899.999999985</v>
      </c>
      <c r="G44" s="46">
        <f t="shared" si="51"/>
        <v>80812533.333333313</v>
      </c>
      <c r="H44" s="46">
        <f t="shared" si="51"/>
        <v>150628166.66666663</v>
      </c>
      <c r="I44" s="46">
        <f t="shared" si="51"/>
        <v>154293799.99999997</v>
      </c>
      <c r="J44" s="46">
        <f t="shared" si="51"/>
        <v>157959433.33333331</v>
      </c>
      <c r="K44" s="46">
        <f t="shared" si="51"/>
        <v>227775066.66666663</v>
      </c>
      <c r="L44" s="46">
        <f t="shared" si="51"/>
        <v>231440699.99999997</v>
      </c>
      <c r="M44" s="46">
        <f t="shared" si="51"/>
        <v>235106333.33333331</v>
      </c>
      <c r="N44" s="46">
        <f t="shared" si="51"/>
        <v>304921966.66666663</v>
      </c>
      <c r="O44" s="46">
        <f t="shared" si="51"/>
        <v>308587599.99999994</v>
      </c>
      <c r="P44" s="46">
        <f>P42</f>
        <v>308587600</v>
      </c>
      <c r="Q44" s="21">
        <f>P44+Q38</f>
        <v>855624489.99999976</v>
      </c>
      <c r="R44" s="21">
        <f t="shared" ref="R44:T44" si="52">Q44+R38</f>
        <v>1638731575.4999995</v>
      </c>
      <c r="S44" s="21">
        <f t="shared" si="52"/>
        <v>2738062567.3849988</v>
      </c>
      <c r="T44" s="21">
        <f t="shared" si="52"/>
        <v>4293861722.8055472</v>
      </c>
      <c r="U44" s="5"/>
    </row>
    <row r="45" spans="2:21" ht="16.5" hidden="1" outlineLevel="1" thickBot="1" x14ac:dyDescent="0.4">
      <c r="B45" s="11"/>
      <c r="C45" s="20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50"/>
      <c r="Q45" s="21"/>
      <c r="R45" s="21"/>
      <c r="S45" s="21"/>
      <c r="T45" s="21"/>
      <c r="U45" s="5"/>
    </row>
    <row r="46" spans="2:21" ht="16.5" hidden="1" outlineLevel="1" thickBot="1" x14ac:dyDescent="0.4">
      <c r="B46" s="11" t="s">
        <v>22</v>
      </c>
      <c r="C46" s="20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50"/>
      <c r="Q46" s="21"/>
      <c r="R46" s="21"/>
      <c r="S46" s="21"/>
      <c r="T46" s="21"/>
      <c r="U46" s="5"/>
    </row>
    <row r="47" spans="2:21" ht="16.5" hidden="1" outlineLevel="1" thickBot="1" x14ac:dyDescent="0.4">
      <c r="B47" s="11"/>
      <c r="C47" s="20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50"/>
      <c r="Q47" s="21"/>
      <c r="R47" s="21"/>
      <c r="S47" s="21"/>
      <c r="T47" s="21"/>
      <c r="U47" s="5"/>
    </row>
    <row r="48" spans="2:21" ht="16.5" hidden="1" outlineLevel="1" thickBot="1" x14ac:dyDescent="0.4">
      <c r="B48" s="11" t="s">
        <v>23</v>
      </c>
      <c r="C48" s="20"/>
      <c r="D48" s="46">
        <f>D44-D46</f>
        <v>3665633.333333333</v>
      </c>
      <c r="E48" s="46">
        <f t="shared" ref="E48:O48" si="53">E44-E46</f>
        <v>73481266.666666657</v>
      </c>
      <c r="F48" s="46">
        <f t="shared" si="53"/>
        <v>77146899.999999985</v>
      </c>
      <c r="G48" s="46">
        <f t="shared" si="53"/>
        <v>80812533.333333313</v>
      </c>
      <c r="H48" s="46">
        <f t="shared" si="53"/>
        <v>150628166.66666663</v>
      </c>
      <c r="I48" s="46">
        <f t="shared" si="53"/>
        <v>154293799.99999997</v>
      </c>
      <c r="J48" s="46">
        <f t="shared" si="53"/>
        <v>157959433.33333331</v>
      </c>
      <c r="K48" s="46">
        <f t="shared" si="53"/>
        <v>227775066.66666663</v>
      </c>
      <c r="L48" s="46">
        <f t="shared" si="53"/>
        <v>231440699.99999997</v>
      </c>
      <c r="M48" s="46">
        <f t="shared" si="53"/>
        <v>235106333.33333331</v>
      </c>
      <c r="N48" s="46">
        <f t="shared" si="53"/>
        <v>304921966.66666663</v>
      </c>
      <c r="O48" s="46">
        <f t="shared" si="53"/>
        <v>308587599.99999994</v>
      </c>
      <c r="P48" s="50">
        <f>P44-P46</f>
        <v>308587600</v>
      </c>
      <c r="Q48" s="21">
        <f t="shared" ref="Q48:T48" si="54">Q44-Q46</f>
        <v>855624489.99999976</v>
      </c>
      <c r="R48" s="21">
        <f t="shared" si="54"/>
        <v>1638731575.4999995</v>
      </c>
      <c r="S48" s="21">
        <f t="shared" si="54"/>
        <v>2738062567.3849988</v>
      </c>
      <c r="T48" s="21">
        <f t="shared" si="54"/>
        <v>4293861722.8055472</v>
      </c>
      <c r="U48" s="5"/>
    </row>
    <row r="49" spans="2:21" ht="16.5" hidden="1" outlineLevel="1" thickBot="1" x14ac:dyDescent="0.4">
      <c r="B49" s="11"/>
      <c r="C49" s="20"/>
      <c r="D49" s="12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1"/>
      <c r="Q49" s="21"/>
      <c r="R49" s="21"/>
      <c r="S49" s="21"/>
      <c r="T49" s="21"/>
      <c r="U49" s="5"/>
    </row>
    <row r="50" spans="2:21" ht="16.5" hidden="1" collapsed="1" thickBot="1" x14ac:dyDescent="0.4">
      <c r="B50" s="11" t="s">
        <v>24</v>
      </c>
      <c r="C50" s="20"/>
      <c r="D50" s="12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12" t="str">
        <f>IF(P48&gt;0,"1 Year"," ")</f>
        <v>1 Year</v>
      </c>
      <c r="Q50" s="12" t="str">
        <f>IF(Q48&gt;0,"2 Year"," ")</f>
        <v>2 Year</v>
      </c>
      <c r="R50" s="12" t="str">
        <f>IF(R48&gt;0,"3 Year"," ")</f>
        <v>3 Year</v>
      </c>
      <c r="S50" s="12" t="str">
        <f>IF(S48&gt;0,"4 Year"," ")</f>
        <v>4 Year</v>
      </c>
      <c r="T50" s="12" t="str">
        <f>IF(T48&gt;0,"5 Year"," ")</f>
        <v>5 Year</v>
      </c>
    </row>
  </sheetData>
  <phoneticPr fontId="2" type="noConversion"/>
  <pageMargins left="0.7" right="0.7" top="0.75" bottom="0.75" header="0.3" footer="0.3"/>
  <pageSetup scale="34" orientation="portrait" r:id="rId1"/>
  <ignoredErrors>
    <ignoredError sqref="P1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3C16-12DA-4C75-B76C-432903E5939F}">
  <sheetPr>
    <tabColor theme="4" tint="0.59999389629810485"/>
  </sheetPr>
  <dimension ref="B1:V94"/>
  <sheetViews>
    <sheetView zoomScale="115" zoomScaleNormal="115" workbookViewId="0">
      <pane xSplit="3" ySplit="2" topLeftCell="I6" activePane="bottomRight" state="frozen"/>
      <selection activeCell="I6" sqref="I6"/>
      <selection pane="topRight" activeCell="I6" sqref="I6"/>
      <selection pane="bottomLeft" activeCell="I6" sqref="I6"/>
      <selection pane="bottomRight" activeCell="I6" sqref="I6"/>
    </sheetView>
  </sheetViews>
  <sheetFormatPr defaultColWidth="8.90625" defaultRowHeight="16" x14ac:dyDescent="0.4"/>
  <cols>
    <col min="1" max="1" width="1" style="22" customWidth="1"/>
    <col min="2" max="2" width="35.08984375" style="27" bestFit="1" customWidth="1"/>
    <col min="3" max="3" width="7.90625" style="6" bestFit="1" customWidth="1"/>
    <col min="4" max="4" width="15.6328125" style="6" bestFit="1" customWidth="1"/>
    <col min="5" max="8" width="13.54296875" style="6" bestFit="1" customWidth="1"/>
    <col min="9" max="9" width="15.54296875" style="6" bestFit="1" customWidth="1"/>
    <col min="10" max="13" width="13.54296875" style="6" bestFit="1" customWidth="1"/>
    <col min="14" max="15" width="14.36328125" style="6" bestFit="1" customWidth="1"/>
    <col min="16" max="16" width="16.1796875" style="6" bestFit="1" customWidth="1"/>
    <col min="17" max="17" width="12.81640625" style="22" customWidth="1"/>
    <col min="18" max="18" width="17.1796875" style="22" bestFit="1" customWidth="1"/>
    <col min="19" max="19" width="8.90625" style="22"/>
    <col min="20" max="20" width="9.90625" style="22" bestFit="1" customWidth="1"/>
    <col min="21" max="21" width="11.6328125" style="22" bestFit="1" customWidth="1"/>
    <col min="22" max="16384" width="8.90625" style="22"/>
  </cols>
  <sheetData>
    <row r="1" spans="2:17" x14ac:dyDescent="0.4">
      <c r="B1" s="68" t="s">
        <v>111</v>
      </c>
      <c r="C1" s="52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2"/>
    </row>
    <row r="2" spans="2:17" x14ac:dyDescent="0.4">
      <c r="B2" s="29" t="s">
        <v>7</v>
      </c>
      <c r="C2" s="10"/>
      <c r="D2" s="30" t="s">
        <v>55</v>
      </c>
      <c r="E2" s="30" t="s">
        <v>56</v>
      </c>
      <c r="F2" s="30" t="s">
        <v>57</v>
      </c>
      <c r="G2" s="30" t="s">
        <v>58</v>
      </c>
      <c r="H2" s="30" t="s">
        <v>0</v>
      </c>
      <c r="I2" s="30" t="s">
        <v>59</v>
      </c>
      <c r="J2" s="30" t="s">
        <v>60</v>
      </c>
      <c r="K2" s="30" t="s">
        <v>61</v>
      </c>
      <c r="L2" s="30" t="s">
        <v>62</v>
      </c>
      <c r="M2" s="30" t="s">
        <v>63</v>
      </c>
      <c r="N2" s="30" t="s">
        <v>64</v>
      </c>
      <c r="O2" s="30" t="s">
        <v>65</v>
      </c>
      <c r="P2" s="10" t="s">
        <v>66</v>
      </c>
    </row>
    <row r="3" spans="2:17" x14ac:dyDescent="0.4">
      <c r="B3" s="28" t="s">
        <v>93</v>
      </c>
      <c r="C3" s="10"/>
      <c r="D3" s="76">
        <f t="shared" ref="D3:P3" si="0">SUM(D4:D5)</f>
        <v>2880000</v>
      </c>
      <c r="E3" s="76">
        <f t="shared" si="0"/>
        <v>2880000</v>
      </c>
      <c r="F3" s="76">
        <f t="shared" si="0"/>
        <v>2880000</v>
      </c>
      <c r="G3" s="76">
        <f t="shared" si="0"/>
        <v>2880000</v>
      </c>
      <c r="H3" s="76">
        <f t="shared" si="0"/>
        <v>2880000</v>
      </c>
      <c r="I3" s="76">
        <f t="shared" si="0"/>
        <v>2880000</v>
      </c>
      <c r="J3" s="76">
        <f t="shared" si="0"/>
        <v>2880000</v>
      </c>
      <c r="K3" s="76">
        <f t="shared" si="0"/>
        <v>2880000</v>
      </c>
      <c r="L3" s="76">
        <f t="shared" si="0"/>
        <v>2880000</v>
      </c>
      <c r="M3" s="76">
        <f t="shared" si="0"/>
        <v>2880000</v>
      </c>
      <c r="N3" s="76">
        <f t="shared" si="0"/>
        <v>2880000</v>
      </c>
      <c r="O3" s="76">
        <f t="shared" si="0"/>
        <v>2880000</v>
      </c>
      <c r="P3" s="76">
        <f t="shared" si="0"/>
        <v>34560000</v>
      </c>
    </row>
    <row r="4" spans="2:17" x14ac:dyDescent="0.4">
      <c r="B4" s="66" t="s">
        <v>95</v>
      </c>
      <c r="D4" s="63">
        <f t="shared" ref="D4:O4" si="1">D27*D47</f>
        <v>1530000</v>
      </c>
      <c r="E4" s="63">
        <f t="shared" si="1"/>
        <v>1530000</v>
      </c>
      <c r="F4" s="63">
        <f t="shared" si="1"/>
        <v>1530000</v>
      </c>
      <c r="G4" s="63">
        <f t="shared" si="1"/>
        <v>1530000</v>
      </c>
      <c r="H4" s="63">
        <f t="shared" si="1"/>
        <v>1530000</v>
      </c>
      <c r="I4" s="63">
        <f t="shared" si="1"/>
        <v>1530000</v>
      </c>
      <c r="J4" s="63">
        <f t="shared" si="1"/>
        <v>1530000</v>
      </c>
      <c r="K4" s="63">
        <f t="shared" si="1"/>
        <v>1530000</v>
      </c>
      <c r="L4" s="63">
        <f t="shared" si="1"/>
        <v>1530000</v>
      </c>
      <c r="M4" s="63">
        <f t="shared" si="1"/>
        <v>1530000</v>
      </c>
      <c r="N4" s="63">
        <f t="shared" si="1"/>
        <v>1530000</v>
      </c>
      <c r="O4" s="63">
        <f t="shared" si="1"/>
        <v>1530000</v>
      </c>
      <c r="P4" s="77">
        <f>SUM(D4:O4)</f>
        <v>18360000</v>
      </c>
    </row>
    <row r="5" spans="2:17" x14ac:dyDescent="0.4">
      <c r="B5" s="27" t="s">
        <v>96</v>
      </c>
      <c r="C5" s="10"/>
      <c r="D5" s="63">
        <f t="shared" ref="D5:O5" si="2">D28*D48</f>
        <v>1350000</v>
      </c>
      <c r="E5" s="63">
        <f t="shared" si="2"/>
        <v>1350000</v>
      </c>
      <c r="F5" s="63">
        <f t="shared" si="2"/>
        <v>1350000</v>
      </c>
      <c r="G5" s="63">
        <f t="shared" si="2"/>
        <v>1350000</v>
      </c>
      <c r="H5" s="63">
        <f t="shared" si="2"/>
        <v>1350000</v>
      </c>
      <c r="I5" s="63">
        <f t="shared" si="2"/>
        <v>1350000</v>
      </c>
      <c r="J5" s="63">
        <f t="shared" si="2"/>
        <v>1350000</v>
      </c>
      <c r="K5" s="63">
        <f t="shared" si="2"/>
        <v>1350000</v>
      </c>
      <c r="L5" s="63">
        <f t="shared" si="2"/>
        <v>1350000</v>
      </c>
      <c r="M5" s="63">
        <f t="shared" si="2"/>
        <v>1350000</v>
      </c>
      <c r="N5" s="63">
        <f t="shared" si="2"/>
        <v>1350000</v>
      </c>
      <c r="O5" s="63">
        <f t="shared" si="2"/>
        <v>1350000</v>
      </c>
      <c r="P5" s="77">
        <f t="shared" ref="P5:P11" si="3">SUM(D5:O5)</f>
        <v>16200000</v>
      </c>
    </row>
    <row r="6" spans="2:17" x14ac:dyDescent="0.4">
      <c r="B6" s="27" t="s">
        <v>99</v>
      </c>
      <c r="C6" s="10"/>
      <c r="D6" s="63">
        <f t="shared" ref="D6:O6" si="4">D29*D49</f>
        <v>380000</v>
      </c>
      <c r="E6" s="63">
        <f t="shared" si="4"/>
        <v>380000</v>
      </c>
      <c r="F6" s="63">
        <f t="shared" si="4"/>
        <v>380000</v>
      </c>
      <c r="G6" s="63">
        <f t="shared" si="4"/>
        <v>380000</v>
      </c>
      <c r="H6" s="63">
        <f t="shared" si="4"/>
        <v>380000</v>
      </c>
      <c r="I6" s="63">
        <f t="shared" si="4"/>
        <v>380000</v>
      </c>
      <c r="J6" s="63">
        <f t="shared" si="4"/>
        <v>380000</v>
      </c>
      <c r="K6" s="63">
        <f t="shared" si="4"/>
        <v>380000</v>
      </c>
      <c r="L6" s="63">
        <f t="shared" si="4"/>
        <v>380000</v>
      </c>
      <c r="M6" s="63">
        <f t="shared" si="4"/>
        <v>380000</v>
      </c>
      <c r="N6" s="63">
        <f t="shared" si="4"/>
        <v>380000</v>
      </c>
      <c r="O6" s="63">
        <f t="shared" si="4"/>
        <v>380000</v>
      </c>
      <c r="P6" s="77">
        <f t="shared" si="3"/>
        <v>4560000</v>
      </c>
    </row>
    <row r="7" spans="2:17" x14ac:dyDescent="0.4">
      <c r="B7" s="27" t="s">
        <v>102</v>
      </c>
      <c r="C7" s="10"/>
      <c r="D7" s="63">
        <f t="shared" ref="D7:O7" si="5">D30*D50</f>
        <v>450000</v>
      </c>
      <c r="E7" s="63">
        <f t="shared" si="5"/>
        <v>450000</v>
      </c>
      <c r="F7" s="63">
        <f t="shared" si="5"/>
        <v>450000</v>
      </c>
      <c r="G7" s="63">
        <f t="shared" si="5"/>
        <v>450000</v>
      </c>
      <c r="H7" s="63">
        <f t="shared" si="5"/>
        <v>450000</v>
      </c>
      <c r="I7" s="63">
        <f t="shared" si="5"/>
        <v>450000</v>
      </c>
      <c r="J7" s="63">
        <f t="shared" si="5"/>
        <v>450000</v>
      </c>
      <c r="K7" s="63">
        <f t="shared" si="5"/>
        <v>450000</v>
      </c>
      <c r="L7" s="63">
        <f t="shared" si="5"/>
        <v>450000</v>
      </c>
      <c r="M7" s="63">
        <f t="shared" si="5"/>
        <v>450000</v>
      </c>
      <c r="N7" s="63">
        <f t="shared" si="5"/>
        <v>450000</v>
      </c>
      <c r="O7" s="63">
        <f t="shared" si="5"/>
        <v>450000</v>
      </c>
      <c r="P7" s="77">
        <f t="shared" si="3"/>
        <v>5400000</v>
      </c>
    </row>
    <row r="8" spans="2:17" x14ac:dyDescent="0.4">
      <c r="B8" s="66" t="s">
        <v>97</v>
      </c>
      <c r="C8" s="10"/>
      <c r="D8" s="63">
        <f t="shared" ref="D8:O8" si="6">D31*D51</f>
        <v>0</v>
      </c>
      <c r="E8" s="63">
        <f t="shared" si="6"/>
        <v>1500000</v>
      </c>
      <c r="F8" s="63">
        <f t="shared" si="6"/>
        <v>0</v>
      </c>
      <c r="G8" s="63">
        <f t="shared" si="6"/>
        <v>1500000</v>
      </c>
      <c r="H8" s="63">
        <f t="shared" si="6"/>
        <v>0</v>
      </c>
      <c r="I8" s="63">
        <f t="shared" si="6"/>
        <v>1500000</v>
      </c>
      <c r="J8" s="63">
        <f t="shared" si="6"/>
        <v>0</v>
      </c>
      <c r="K8" s="63">
        <f t="shared" si="6"/>
        <v>1500000</v>
      </c>
      <c r="L8" s="63">
        <f t="shared" si="6"/>
        <v>0</v>
      </c>
      <c r="M8" s="63">
        <f t="shared" si="6"/>
        <v>1500000</v>
      </c>
      <c r="N8" s="63">
        <f t="shared" si="6"/>
        <v>0</v>
      </c>
      <c r="O8" s="63">
        <f t="shared" si="6"/>
        <v>1500000</v>
      </c>
      <c r="P8" s="77">
        <f t="shared" si="3"/>
        <v>9000000</v>
      </c>
    </row>
    <row r="9" spans="2:17" x14ac:dyDescent="0.4">
      <c r="B9" s="27" t="s">
        <v>98</v>
      </c>
      <c r="C9" s="10"/>
      <c r="D9" s="63">
        <f t="shared" ref="D9:O9" si="7">D32*D52</f>
        <v>850000</v>
      </c>
      <c r="E9" s="63">
        <f t="shared" si="7"/>
        <v>850000</v>
      </c>
      <c r="F9" s="63">
        <f t="shared" si="7"/>
        <v>850000</v>
      </c>
      <c r="G9" s="63">
        <f t="shared" si="7"/>
        <v>850000</v>
      </c>
      <c r="H9" s="63">
        <f t="shared" si="7"/>
        <v>850000</v>
      </c>
      <c r="I9" s="63">
        <f t="shared" si="7"/>
        <v>850000</v>
      </c>
      <c r="J9" s="63">
        <f t="shared" si="7"/>
        <v>850000</v>
      </c>
      <c r="K9" s="63">
        <f t="shared" si="7"/>
        <v>850000</v>
      </c>
      <c r="L9" s="63">
        <f t="shared" si="7"/>
        <v>850000</v>
      </c>
      <c r="M9" s="63">
        <f t="shared" si="7"/>
        <v>850000</v>
      </c>
      <c r="N9" s="63">
        <f t="shared" si="7"/>
        <v>850000</v>
      </c>
      <c r="O9" s="63">
        <f t="shared" si="7"/>
        <v>850000</v>
      </c>
      <c r="P9" s="77">
        <f t="shared" si="3"/>
        <v>10200000</v>
      </c>
    </row>
    <row r="10" spans="2:17" x14ac:dyDescent="0.4">
      <c r="B10" s="27" t="s">
        <v>100</v>
      </c>
      <c r="C10" s="10"/>
      <c r="D10" s="63">
        <f t="shared" ref="D10:O10" si="8">D33*D53</f>
        <v>450000</v>
      </c>
      <c r="E10" s="63">
        <f t="shared" si="8"/>
        <v>450000</v>
      </c>
      <c r="F10" s="63">
        <f t="shared" si="8"/>
        <v>450000</v>
      </c>
      <c r="G10" s="63">
        <f t="shared" si="8"/>
        <v>450000</v>
      </c>
      <c r="H10" s="63">
        <f t="shared" si="8"/>
        <v>450000</v>
      </c>
      <c r="I10" s="63">
        <f t="shared" si="8"/>
        <v>450000</v>
      </c>
      <c r="J10" s="63">
        <f t="shared" si="8"/>
        <v>450000</v>
      </c>
      <c r="K10" s="63">
        <f t="shared" si="8"/>
        <v>450000</v>
      </c>
      <c r="L10" s="63">
        <f t="shared" si="8"/>
        <v>450000</v>
      </c>
      <c r="M10" s="63">
        <f t="shared" si="8"/>
        <v>450000</v>
      </c>
      <c r="N10" s="63">
        <f t="shared" si="8"/>
        <v>450000</v>
      </c>
      <c r="O10" s="63">
        <f t="shared" si="8"/>
        <v>450000</v>
      </c>
      <c r="P10" s="77">
        <f t="shared" si="3"/>
        <v>5400000</v>
      </c>
    </row>
    <row r="11" spans="2:17" x14ac:dyDescent="0.4">
      <c r="B11" s="27" t="s">
        <v>103</v>
      </c>
      <c r="C11" s="10"/>
      <c r="D11" s="63">
        <f t="shared" ref="D11:O11" si="9">D34*D54</f>
        <v>0</v>
      </c>
      <c r="E11" s="63">
        <f t="shared" si="9"/>
        <v>850000</v>
      </c>
      <c r="F11" s="63">
        <f t="shared" si="9"/>
        <v>0</v>
      </c>
      <c r="G11" s="63">
        <f t="shared" si="9"/>
        <v>850000</v>
      </c>
      <c r="H11" s="63">
        <f t="shared" si="9"/>
        <v>0</v>
      </c>
      <c r="I11" s="63">
        <f t="shared" si="9"/>
        <v>850000</v>
      </c>
      <c r="J11" s="63">
        <f t="shared" si="9"/>
        <v>0</v>
      </c>
      <c r="K11" s="63">
        <f t="shared" si="9"/>
        <v>850000</v>
      </c>
      <c r="L11" s="63">
        <f t="shared" si="9"/>
        <v>0</v>
      </c>
      <c r="M11" s="63">
        <f t="shared" si="9"/>
        <v>850000</v>
      </c>
      <c r="N11" s="63">
        <f t="shared" si="9"/>
        <v>0</v>
      </c>
      <c r="O11" s="63">
        <f t="shared" si="9"/>
        <v>850000</v>
      </c>
      <c r="P11" s="77">
        <f t="shared" si="3"/>
        <v>5100000</v>
      </c>
    </row>
    <row r="12" spans="2:17" x14ac:dyDescent="0.4">
      <c r="C12" s="10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76"/>
    </row>
    <row r="13" spans="2:17" x14ac:dyDescent="0.4">
      <c r="B13" s="32"/>
      <c r="C13" s="34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76"/>
    </row>
    <row r="14" spans="2:17" x14ac:dyDescent="0.4">
      <c r="B14" s="28" t="s">
        <v>92</v>
      </c>
      <c r="C14" s="34"/>
      <c r="D14" s="76">
        <f>SUM(D15:D21)</f>
        <v>211804450.15916669</v>
      </c>
      <c r="E14" s="76">
        <f t="shared" ref="E14:P14" si="10">SUM(E15:E21)</f>
        <v>211804450.15916669</v>
      </c>
      <c r="F14" s="76">
        <f t="shared" si="10"/>
        <v>211804450.15916669</v>
      </c>
      <c r="G14" s="76">
        <f t="shared" si="10"/>
        <v>211804450.15916669</v>
      </c>
      <c r="H14" s="76">
        <f t="shared" si="10"/>
        <v>211804450.15916669</v>
      </c>
      <c r="I14" s="76">
        <f t="shared" si="10"/>
        <v>211804450.15916669</v>
      </c>
      <c r="J14" s="76">
        <f t="shared" si="10"/>
        <v>211804450.15916669</v>
      </c>
      <c r="K14" s="76">
        <f t="shared" si="10"/>
        <v>211804450.15916669</v>
      </c>
      <c r="L14" s="76">
        <f t="shared" si="10"/>
        <v>211804450.15916669</v>
      </c>
      <c r="M14" s="76">
        <f t="shared" si="10"/>
        <v>211804450.15916669</v>
      </c>
      <c r="N14" s="76">
        <f t="shared" si="10"/>
        <v>211804450.15916669</v>
      </c>
      <c r="O14" s="76">
        <f t="shared" si="10"/>
        <v>211804450.15916669</v>
      </c>
      <c r="P14" s="76">
        <f t="shared" si="10"/>
        <v>2541653401.9100003</v>
      </c>
    </row>
    <row r="15" spans="2:17" x14ac:dyDescent="0.4">
      <c r="B15" s="78" t="s">
        <v>70</v>
      </c>
      <c r="D15" s="63">
        <f>D37*D57</f>
        <v>4825999.62</v>
      </c>
      <c r="E15" s="63">
        <f>D15</f>
        <v>4825999.62</v>
      </c>
      <c r="F15" s="63">
        <f t="shared" ref="F15:O15" si="11">E15</f>
        <v>4825999.62</v>
      </c>
      <c r="G15" s="63">
        <f t="shared" si="11"/>
        <v>4825999.62</v>
      </c>
      <c r="H15" s="63">
        <f t="shared" si="11"/>
        <v>4825999.62</v>
      </c>
      <c r="I15" s="63">
        <f t="shared" si="11"/>
        <v>4825999.62</v>
      </c>
      <c r="J15" s="63">
        <f t="shared" si="11"/>
        <v>4825999.62</v>
      </c>
      <c r="K15" s="63">
        <f t="shared" si="11"/>
        <v>4825999.62</v>
      </c>
      <c r="L15" s="63">
        <f t="shared" si="11"/>
        <v>4825999.62</v>
      </c>
      <c r="M15" s="63">
        <f t="shared" si="11"/>
        <v>4825999.62</v>
      </c>
      <c r="N15" s="63">
        <f t="shared" si="11"/>
        <v>4825999.62</v>
      </c>
      <c r="O15" s="63">
        <f t="shared" si="11"/>
        <v>4825999.62</v>
      </c>
      <c r="P15" s="77">
        <f t="shared" ref="P15:P21" si="12">SUM(D15:O15)</f>
        <v>57911995.43999999</v>
      </c>
      <c r="Q15" s="22" t="s">
        <v>79</v>
      </c>
    </row>
    <row r="16" spans="2:17" x14ac:dyDescent="0.4">
      <c r="B16" s="78" t="s">
        <v>71</v>
      </c>
      <c r="D16" s="63">
        <f>D38*D58</f>
        <v>2631766.63</v>
      </c>
      <c r="E16" s="63">
        <f t="shared" ref="E16:O16" si="13">E38*E58</f>
        <v>2631766.63</v>
      </c>
      <c r="F16" s="63">
        <f t="shared" si="13"/>
        <v>2631766.63</v>
      </c>
      <c r="G16" s="63">
        <f t="shared" si="13"/>
        <v>2631766.63</v>
      </c>
      <c r="H16" s="63">
        <f t="shared" si="13"/>
        <v>2631766.63</v>
      </c>
      <c r="I16" s="63">
        <f t="shared" si="13"/>
        <v>2631766.63</v>
      </c>
      <c r="J16" s="63">
        <f t="shared" si="13"/>
        <v>2631766.63</v>
      </c>
      <c r="K16" s="63">
        <f t="shared" si="13"/>
        <v>2631766.63</v>
      </c>
      <c r="L16" s="63">
        <f t="shared" si="13"/>
        <v>2631766.63</v>
      </c>
      <c r="M16" s="63">
        <f t="shared" si="13"/>
        <v>2631766.63</v>
      </c>
      <c r="N16" s="63">
        <f t="shared" si="13"/>
        <v>2631766.63</v>
      </c>
      <c r="O16" s="63">
        <f t="shared" si="13"/>
        <v>2631766.63</v>
      </c>
      <c r="P16" s="77">
        <f t="shared" si="12"/>
        <v>31581199.559999991</v>
      </c>
      <c r="Q16" s="22" t="s">
        <v>79</v>
      </c>
    </row>
    <row r="17" spans="2:17" x14ac:dyDescent="0.4">
      <c r="B17" s="14" t="s">
        <v>101</v>
      </c>
      <c r="D17" s="63">
        <f>D39*D59</f>
        <v>609150</v>
      </c>
      <c r="E17" s="63">
        <f t="shared" ref="E17:O17" si="14">E39*E59</f>
        <v>609150</v>
      </c>
      <c r="F17" s="63">
        <f t="shared" si="14"/>
        <v>609150</v>
      </c>
      <c r="G17" s="63">
        <f t="shared" si="14"/>
        <v>609150</v>
      </c>
      <c r="H17" s="63">
        <f t="shared" si="14"/>
        <v>609150</v>
      </c>
      <c r="I17" s="63">
        <f t="shared" si="14"/>
        <v>609150</v>
      </c>
      <c r="J17" s="63">
        <f t="shared" si="14"/>
        <v>609150</v>
      </c>
      <c r="K17" s="63">
        <f t="shared" si="14"/>
        <v>609150</v>
      </c>
      <c r="L17" s="63">
        <f t="shared" si="14"/>
        <v>609150</v>
      </c>
      <c r="M17" s="63">
        <f t="shared" si="14"/>
        <v>609150</v>
      </c>
      <c r="N17" s="63">
        <f t="shared" si="14"/>
        <v>609150</v>
      </c>
      <c r="O17" s="63">
        <f t="shared" si="14"/>
        <v>609150</v>
      </c>
      <c r="P17" s="77">
        <f t="shared" si="12"/>
        <v>7309800</v>
      </c>
      <c r="Q17" s="22" t="s">
        <v>79</v>
      </c>
    </row>
    <row r="18" spans="2:17" x14ac:dyDescent="0.4">
      <c r="B18" s="27" t="s">
        <v>75</v>
      </c>
      <c r="C18" s="34"/>
      <c r="D18" s="63">
        <f>(D40*D60)</f>
        <v>4570867.242499996</v>
      </c>
      <c r="E18" s="63">
        <f>D18</f>
        <v>4570867.242499996</v>
      </c>
      <c r="F18" s="63">
        <f t="shared" ref="F18:O20" si="15">E18</f>
        <v>4570867.242499996</v>
      </c>
      <c r="G18" s="63">
        <f t="shared" si="15"/>
        <v>4570867.242499996</v>
      </c>
      <c r="H18" s="63">
        <f t="shared" si="15"/>
        <v>4570867.242499996</v>
      </c>
      <c r="I18" s="63">
        <f t="shared" si="15"/>
        <v>4570867.242499996</v>
      </c>
      <c r="J18" s="63">
        <f t="shared" si="15"/>
        <v>4570867.242499996</v>
      </c>
      <c r="K18" s="63">
        <f t="shared" si="15"/>
        <v>4570867.242499996</v>
      </c>
      <c r="L18" s="63">
        <f t="shared" si="15"/>
        <v>4570867.242499996</v>
      </c>
      <c r="M18" s="63">
        <f t="shared" si="15"/>
        <v>4570867.242499996</v>
      </c>
      <c r="N18" s="63">
        <f t="shared" si="15"/>
        <v>4570867.242499996</v>
      </c>
      <c r="O18" s="63">
        <f t="shared" si="15"/>
        <v>4570867.242499996</v>
      </c>
      <c r="P18" s="77">
        <f t="shared" si="12"/>
        <v>54850406.909999937</v>
      </c>
      <c r="Q18" s="22" t="s">
        <v>76</v>
      </c>
    </row>
    <row r="19" spans="2:17" hidden="1" x14ac:dyDescent="0.4">
      <c r="B19" s="27" t="s">
        <v>112</v>
      </c>
      <c r="C19" s="34"/>
      <c r="D19" s="63">
        <f>(D41*D61)</f>
        <v>0</v>
      </c>
      <c r="E19" s="63">
        <f>D19</f>
        <v>0</v>
      </c>
      <c r="F19" s="63">
        <f t="shared" si="15"/>
        <v>0</v>
      </c>
      <c r="G19" s="63">
        <f t="shared" si="15"/>
        <v>0</v>
      </c>
      <c r="H19" s="63">
        <f t="shared" si="15"/>
        <v>0</v>
      </c>
      <c r="I19" s="63">
        <f t="shared" si="15"/>
        <v>0</v>
      </c>
      <c r="J19" s="63">
        <f t="shared" si="15"/>
        <v>0</v>
      </c>
      <c r="K19" s="63">
        <f t="shared" si="15"/>
        <v>0</v>
      </c>
      <c r="L19" s="63">
        <f t="shared" si="15"/>
        <v>0</v>
      </c>
      <c r="M19" s="63">
        <f t="shared" si="15"/>
        <v>0</v>
      </c>
      <c r="N19" s="63">
        <f t="shared" si="15"/>
        <v>0</v>
      </c>
      <c r="O19" s="63">
        <f t="shared" si="15"/>
        <v>0</v>
      </c>
      <c r="P19" s="77">
        <f t="shared" si="12"/>
        <v>0</v>
      </c>
    </row>
    <row r="20" spans="2:17" x14ac:dyDescent="0.4">
      <c r="B20" s="27" t="s">
        <v>113</v>
      </c>
      <c r="C20" s="34"/>
      <c r="D20" s="63">
        <f>(D42*D62)</f>
        <v>196166666.66666669</v>
      </c>
      <c r="E20" s="63">
        <f>D20</f>
        <v>196166666.66666669</v>
      </c>
      <c r="F20" s="63">
        <f t="shared" si="15"/>
        <v>196166666.66666669</v>
      </c>
      <c r="G20" s="63">
        <f t="shared" si="15"/>
        <v>196166666.66666669</v>
      </c>
      <c r="H20" s="63">
        <f t="shared" si="15"/>
        <v>196166666.66666669</v>
      </c>
      <c r="I20" s="63">
        <f t="shared" si="15"/>
        <v>196166666.66666669</v>
      </c>
      <c r="J20" s="63">
        <f t="shared" si="15"/>
        <v>196166666.66666669</v>
      </c>
      <c r="K20" s="63">
        <f t="shared" si="15"/>
        <v>196166666.66666669</v>
      </c>
      <c r="L20" s="63">
        <f t="shared" si="15"/>
        <v>196166666.66666669</v>
      </c>
      <c r="M20" s="63">
        <f t="shared" si="15"/>
        <v>196166666.66666669</v>
      </c>
      <c r="N20" s="63">
        <f t="shared" si="15"/>
        <v>196166666.66666669</v>
      </c>
      <c r="O20" s="63">
        <f t="shared" si="15"/>
        <v>196166666.66666669</v>
      </c>
      <c r="P20" s="77">
        <f t="shared" si="12"/>
        <v>2354000000.0000005</v>
      </c>
    </row>
    <row r="21" spans="2:17" x14ac:dyDescent="0.4">
      <c r="B21" s="27" t="s">
        <v>94</v>
      </c>
      <c r="C21" s="34"/>
      <c r="D21" s="63">
        <v>3000000</v>
      </c>
      <c r="E21" s="63">
        <f>D21</f>
        <v>3000000</v>
      </c>
      <c r="F21" s="63">
        <f t="shared" ref="F21:O21" si="16">E21</f>
        <v>3000000</v>
      </c>
      <c r="G21" s="63">
        <f t="shared" si="16"/>
        <v>3000000</v>
      </c>
      <c r="H21" s="63">
        <f t="shared" si="16"/>
        <v>3000000</v>
      </c>
      <c r="I21" s="63">
        <f t="shared" si="16"/>
        <v>3000000</v>
      </c>
      <c r="J21" s="63">
        <f t="shared" si="16"/>
        <v>3000000</v>
      </c>
      <c r="K21" s="63">
        <f t="shared" si="16"/>
        <v>3000000</v>
      </c>
      <c r="L21" s="63">
        <f t="shared" si="16"/>
        <v>3000000</v>
      </c>
      <c r="M21" s="63">
        <f t="shared" si="16"/>
        <v>3000000</v>
      </c>
      <c r="N21" s="63">
        <f t="shared" si="16"/>
        <v>3000000</v>
      </c>
      <c r="O21" s="63">
        <f t="shared" si="16"/>
        <v>3000000</v>
      </c>
      <c r="P21" s="77">
        <f t="shared" si="12"/>
        <v>36000000</v>
      </c>
    </row>
    <row r="22" spans="2:17" x14ac:dyDescent="0.4">
      <c r="B22" s="32"/>
      <c r="C22" s="34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69"/>
    </row>
    <row r="23" spans="2:17" x14ac:dyDescent="0.4">
      <c r="B23" s="67" t="s">
        <v>3</v>
      </c>
      <c r="C23" s="55"/>
      <c r="D23" s="71">
        <f t="shared" ref="D23:O23" si="17">D3+D14</f>
        <v>214684450.15916669</v>
      </c>
      <c r="E23" s="71">
        <f t="shared" si="17"/>
        <v>214684450.15916669</v>
      </c>
      <c r="F23" s="71">
        <f t="shared" si="17"/>
        <v>214684450.15916669</v>
      </c>
      <c r="G23" s="71">
        <f t="shared" si="17"/>
        <v>214684450.15916669</v>
      </c>
      <c r="H23" s="71">
        <f t="shared" si="17"/>
        <v>214684450.15916669</v>
      </c>
      <c r="I23" s="71">
        <f t="shared" si="17"/>
        <v>214684450.15916669</v>
      </c>
      <c r="J23" s="71">
        <f t="shared" si="17"/>
        <v>214684450.15916669</v>
      </c>
      <c r="K23" s="71">
        <f t="shared" si="17"/>
        <v>214684450.15916669</v>
      </c>
      <c r="L23" s="71">
        <f t="shared" si="17"/>
        <v>214684450.15916669</v>
      </c>
      <c r="M23" s="71">
        <f t="shared" si="17"/>
        <v>214684450.15916669</v>
      </c>
      <c r="N23" s="71">
        <f t="shared" si="17"/>
        <v>214684450.15916669</v>
      </c>
      <c r="O23" s="71">
        <f t="shared" si="17"/>
        <v>214684450.15916669</v>
      </c>
      <c r="P23" s="71">
        <f>P3+P14</f>
        <v>2576213401.9100003</v>
      </c>
    </row>
    <row r="24" spans="2:17" x14ac:dyDescent="0.4">
      <c r="B24" s="32"/>
      <c r="C24" s="34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2"/>
    </row>
    <row r="25" spans="2:17" x14ac:dyDescent="0.4">
      <c r="B25" s="29" t="s">
        <v>110</v>
      </c>
      <c r="D25" s="73"/>
      <c r="E25" s="73"/>
      <c r="F25" s="73"/>
      <c r="G25" s="73"/>
      <c r="H25" s="70"/>
      <c r="I25" s="73"/>
      <c r="J25" s="73"/>
      <c r="K25" s="73"/>
      <c r="L25" s="73"/>
      <c r="M25" s="73"/>
      <c r="N25" s="73"/>
      <c r="O25" s="73"/>
      <c r="P25" s="73"/>
    </row>
    <row r="26" spans="2:17" x14ac:dyDescent="0.4">
      <c r="B26" s="28" t="s">
        <v>93</v>
      </c>
      <c r="D26" s="69">
        <f>SUM(D27:D34)</f>
        <v>9</v>
      </c>
      <c r="E26" s="69">
        <f t="shared" ref="E26:O26" si="18">SUM(E27:E34)</f>
        <v>11</v>
      </c>
      <c r="F26" s="69">
        <f t="shared" si="18"/>
        <v>9</v>
      </c>
      <c r="G26" s="69">
        <f t="shared" si="18"/>
        <v>11</v>
      </c>
      <c r="H26" s="69">
        <f t="shared" si="18"/>
        <v>9</v>
      </c>
      <c r="I26" s="69">
        <f t="shared" si="18"/>
        <v>11</v>
      </c>
      <c r="J26" s="69">
        <f t="shared" si="18"/>
        <v>9</v>
      </c>
      <c r="K26" s="69">
        <f t="shared" si="18"/>
        <v>11</v>
      </c>
      <c r="L26" s="69">
        <f t="shared" si="18"/>
        <v>9</v>
      </c>
      <c r="M26" s="69">
        <f t="shared" si="18"/>
        <v>11</v>
      </c>
      <c r="N26" s="69">
        <f t="shared" si="18"/>
        <v>9</v>
      </c>
      <c r="O26" s="69">
        <f t="shared" si="18"/>
        <v>11</v>
      </c>
      <c r="P26" s="69">
        <f>SUM(P27:P34)</f>
        <v>120</v>
      </c>
    </row>
    <row r="27" spans="2:17" x14ac:dyDescent="0.4">
      <c r="B27" s="66" t="s">
        <v>95</v>
      </c>
      <c r="D27" s="6">
        <v>2</v>
      </c>
      <c r="E27" s="6">
        <v>2</v>
      </c>
      <c r="F27" s="6">
        <v>2</v>
      </c>
      <c r="G27" s="6">
        <v>2</v>
      </c>
      <c r="H27" s="6">
        <v>2</v>
      </c>
      <c r="I27" s="6">
        <v>2</v>
      </c>
      <c r="J27" s="6">
        <v>2</v>
      </c>
      <c r="K27" s="6">
        <v>2</v>
      </c>
      <c r="L27" s="6">
        <v>2</v>
      </c>
      <c r="M27" s="6">
        <v>2</v>
      </c>
      <c r="N27" s="6">
        <v>2</v>
      </c>
      <c r="O27" s="6">
        <v>2</v>
      </c>
      <c r="P27" s="73">
        <f t="shared" ref="P27:P28" si="19">SUM(D27:O27)</f>
        <v>24</v>
      </c>
    </row>
    <row r="28" spans="2:17" x14ac:dyDescent="0.4">
      <c r="B28" s="27" t="s">
        <v>96</v>
      </c>
      <c r="C28" s="10"/>
      <c r="D28" s="70">
        <v>3</v>
      </c>
      <c r="E28" s="70">
        <v>3</v>
      </c>
      <c r="F28" s="70">
        <v>3</v>
      </c>
      <c r="G28" s="70">
        <v>3</v>
      </c>
      <c r="H28" s="70">
        <v>3</v>
      </c>
      <c r="I28" s="70">
        <v>3</v>
      </c>
      <c r="J28" s="70">
        <v>3</v>
      </c>
      <c r="K28" s="70">
        <v>3</v>
      </c>
      <c r="L28" s="70">
        <v>3</v>
      </c>
      <c r="M28" s="70">
        <v>3</v>
      </c>
      <c r="N28" s="70">
        <v>3</v>
      </c>
      <c r="O28" s="70">
        <v>3</v>
      </c>
      <c r="P28" s="73">
        <f t="shared" si="19"/>
        <v>36</v>
      </c>
    </row>
    <row r="29" spans="2:17" x14ac:dyDescent="0.4">
      <c r="B29" s="27" t="s">
        <v>99</v>
      </c>
      <c r="C29" s="10"/>
      <c r="D29" s="70">
        <v>1</v>
      </c>
      <c r="E29" s="70">
        <v>1</v>
      </c>
      <c r="F29" s="70">
        <v>1</v>
      </c>
      <c r="G29" s="70">
        <f t="shared" ref="G29:G33" si="20">F29</f>
        <v>1</v>
      </c>
      <c r="H29" s="70">
        <f t="shared" ref="H29:H33" si="21">G29</f>
        <v>1</v>
      </c>
      <c r="I29" s="70">
        <f t="shared" ref="I29:I33" si="22">H29</f>
        <v>1</v>
      </c>
      <c r="J29" s="70">
        <f t="shared" ref="J29:J33" si="23">I29</f>
        <v>1</v>
      </c>
      <c r="K29" s="70">
        <f t="shared" ref="K29:K33" si="24">J29</f>
        <v>1</v>
      </c>
      <c r="L29" s="70">
        <f t="shared" ref="L29:L33" si="25">K29</f>
        <v>1</v>
      </c>
      <c r="M29" s="70">
        <f t="shared" ref="M29:M33" si="26">L29</f>
        <v>1</v>
      </c>
      <c r="N29" s="70">
        <f t="shared" ref="N29:N33" si="27">M29</f>
        <v>1</v>
      </c>
      <c r="O29" s="70">
        <f t="shared" ref="O29:O33" si="28">N29</f>
        <v>1</v>
      </c>
      <c r="P29" s="73">
        <f t="shared" ref="P29:P34" si="29">SUM(D29:O29)</f>
        <v>12</v>
      </c>
    </row>
    <row r="30" spans="2:17" x14ac:dyDescent="0.4">
      <c r="B30" s="27" t="s">
        <v>102</v>
      </c>
      <c r="C30" s="10"/>
      <c r="D30" s="70">
        <v>1</v>
      </c>
      <c r="E30" s="70">
        <v>1</v>
      </c>
      <c r="F30" s="70">
        <v>1</v>
      </c>
      <c r="G30" s="70">
        <f t="shared" ref="G30" si="30">F30</f>
        <v>1</v>
      </c>
      <c r="H30" s="70">
        <f t="shared" ref="H30" si="31">G30</f>
        <v>1</v>
      </c>
      <c r="I30" s="70">
        <f t="shared" ref="I30" si="32">H30</f>
        <v>1</v>
      </c>
      <c r="J30" s="70">
        <f t="shared" ref="J30" si="33">I30</f>
        <v>1</v>
      </c>
      <c r="K30" s="70">
        <f t="shared" ref="K30" si="34">J30</f>
        <v>1</v>
      </c>
      <c r="L30" s="70">
        <f t="shared" ref="L30" si="35">K30</f>
        <v>1</v>
      </c>
      <c r="M30" s="70">
        <f t="shared" ref="M30" si="36">L30</f>
        <v>1</v>
      </c>
      <c r="N30" s="70">
        <f t="shared" ref="N30" si="37">M30</f>
        <v>1</v>
      </c>
      <c r="O30" s="70">
        <f t="shared" ref="O30" si="38">N30</f>
        <v>1</v>
      </c>
      <c r="P30" s="73">
        <f t="shared" ref="P30" si="39">SUM(D30:O30)</f>
        <v>12</v>
      </c>
    </row>
    <row r="31" spans="2:17" x14ac:dyDescent="0.4">
      <c r="B31" s="66" t="s">
        <v>97</v>
      </c>
      <c r="C31" s="10"/>
      <c r="D31" s="70"/>
      <c r="E31" s="70">
        <v>1</v>
      </c>
      <c r="F31" s="70"/>
      <c r="G31" s="70">
        <v>1</v>
      </c>
      <c r="H31" s="70"/>
      <c r="I31" s="70">
        <v>1</v>
      </c>
      <c r="J31" s="70"/>
      <c r="K31" s="70">
        <v>1</v>
      </c>
      <c r="L31" s="70"/>
      <c r="M31" s="70">
        <v>1</v>
      </c>
      <c r="N31" s="70"/>
      <c r="O31" s="70">
        <v>1</v>
      </c>
      <c r="P31" s="73">
        <f t="shared" si="29"/>
        <v>6</v>
      </c>
    </row>
    <row r="32" spans="2:17" x14ac:dyDescent="0.4">
      <c r="B32" s="27" t="s">
        <v>98</v>
      </c>
      <c r="C32" s="10"/>
      <c r="D32" s="70">
        <v>1</v>
      </c>
      <c r="E32" s="70">
        <v>1</v>
      </c>
      <c r="F32" s="70">
        <v>1</v>
      </c>
      <c r="G32" s="70">
        <v>1</v>
      </c>
      <c r="H32" s="70">
        <v>1</v>
      </c>
      <c r="I32" s="70">
        <v>1</v>
      </c>
      <c r="J32" s="70">
        <v>1</v>
      </c>
      <c r="K32" s="70">
        <v>1</v>
      </c>
      <c r="L32" s="70">
        <v>1</v>
      </c>
      <c r="M32" s="70">
        <v>1</v>
      </c>
      <c r="N32" s="70">
        <v>1</v>
      </c>
      <c r="O32" s="70">
        <v>1</v>
      </c>
      <c r="P32" s="73">
        <f t="shared" si="29"/>
        <v>12</v>
      </c>
    </row>
    <row r="33" spans="2:17" x14ac:dyDescent="0.4">
      <c r="B33" s="27" t="s">
        <v>100</v>
      </c>
      <c r="C33" s="10"/>
      <c r="D33" s="70">
        <v>1</v>
      </c>
      <c r="E33" s="70">
        <v>1</v>
      </c>
      <c r="F33" s="70">
        <v>1</v>
      </c>
      <c r="G33" s="70">
        <f t="shared" si="20"/>
        <v>1</v>
      </c>
      <c r="H33" s="70">
        <f t="shared" si="21"/>
        <v>1</v>
      </c>
      <c r="I33" s="70">
        <f t="shared" si="22"/>
        <v>1</v>
      </c>
      <c r="J33" s="70">
        <f t="shared" si="23"/>
        <v>1</v>
      </c>
      <c r="K33" s="70">
        <f t="shared" si="24"/>
        <v>1</v>
      </c>
      <c r="L33" s="70">
        <f t="shared" si="25"/>
        <v>1</v>
      </c>
      <c r="M33" s="70">
        <f t="shared" si="26"/>
        <v>1</v>
      </c>
      <c r="N33" s="70">
        <f t="shared" si="27"/>
        <v>1</v>
      </c>
      <c r="O33" s="70">
        <f t="shared" si="28"/>
        <v>1</v>
      </c>
      <c r="P33" s="73">
        <f t="shared" si="29"/>
        <v>12</v>
      </c>
    </row>
    <row r="34" spans="2:17" x14ac:dyDescent="0.4">
      <c r="B34" s="27" t="s">
        <v>104</v>
      </c>
      <c r="C34" s="10"/>
      <c r="D34" s="70"/>
      <c r="E34" s="70">
        <v>1</v>
      </c>
      <c r="F34" s="70"/>
      <c r="G34" s="70">
        <v>1</v>
      </c>
      <c r="H34" s="70"/>
      <c r="I34" s="70">
        <v>1</v>
      </c>
      <c r="J34" s="70"/>
      <c r="K34" s="70">
        <v>1</v>
      </c>
      <c r="L34" s="70"/>
      <c r="M34" s="70">
        <v>1</v>
      </c>
      <c r="N34" s="70"/>
      <c r="O34" s="70">
        <v>1</v>
      </c>
      <c r="P34" s="73">
        <f t="shared" si="29"/>
        <v>6</v>
      </c>
    </row>
    <row r="35" spans="2:17" x14ac:dyDescent="0.4">
      <c r="C35" s="1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3"/>
    </row>
    <row r="36" spans="2:17" x14ac:dyDescent="0.4">
      <c r="B36" s="28" t="s">
        <v>92</v>
      </c>
      <c r="C36" s="37"/>
      <c r="D36" s="69">
        <f>SUM(D37:D40)</f>
        <v>4</v>
      </c>
      <c r="E36" s="69">
        <f t="shared" ref="E36:O36" si="40">SUM(E37:E40)</f>
        <v>4</v>
      </c>
      <c r="F36" s="69">
        <f t="shared" si="40"/>
        <v>4</v>
      </c>
      <c r="G36" s="69">
        <f t="shared" si="40"/>
        <v>4</v>
      </c>
      <c r="H36" s="69">
        <f t="shared" si="40"/>
        <v>4</v>
      </c>
      <c r="I36" s="69">
        <f t="shared" si="40"/>
        <v>4</v>
      </c>
      <c r="J36" s="69">
        <f t="shared" si="40"/>
        <v>4</v>
      </c>
      <c r="K36" s="69">
        <f t="shared" si="40"/>
        <v>4</v>
      </c>
      <c r="L36" s="69">
        <f t="shared" si="40"/>
        <v>4</v>
      </c>
      <c r="M36" s="69">
        <f t="shared" si="40"/>
        <v>4</v>
      </c>
      <c r="N36" s="69">
        <f t="shared" si="40"/>
        <v>4</v>
      </c>
      <c r="O36" s="69">
        <f t="shared" si="40"/>
        <v>4</v>
      </c>
      <c r="P36" s="69">
        <f>SUM(P37:P40)</f>
        <v>48</v>
      </c>
    </row>
    <row r="37" spans="2:17" x14ac:dyDescent="0.4">
      <c r="B37" s="78" t="s">
        <v>70</v>
      </c>
      <c r="D37" s="70">
        <v>1</v>
      </c>
      <c r="E37" s="70">
        <f t="shared" ref="E37:O37" si="41">D37</f>
        <v>1</v>
      </c>
      <c r="F37" s="70">
        <f t="shared" si="41"/>
        <v>1</v>
      </c>
      <c r="G37" s="70">
        <f t="shared" si="41"/>
        <v>1</v>
      </c>
      <c r="H37" s="70">
        <f t="shared" si="41"/>
        <v>1</v>
      </c>
      <c r="I37" s="70">
        <f t="shared" si="41"/>
        <v>1</v>
      </c>
      <c r="J37" s="70">
        <f t="shared" si="41"/>
        <v>1</v>
      </c>
      <c r="K37" s="70">
        <f t="shared" si="41"/>
        <v>1</v>
      </c>
      <c r="L37" s="70">
        <f t="shared" si="41"/>
        <v>1</v>
      </c>
      <c r="M37" s="70">
        <f t="shared" si="41"/>
        <v>1</v>
      </c>
      <c r="N37" s="70">
        <f t="shared" si="41"/>
        <v>1</v>
      </c>
      <c r="O37" s="70">
        <f t="shared" si="41"/>
        <v>1</v>
      </c>
      <c r="P37" s="73">
        <f>SUM(D37:O37)</f>
        <v>12</v>
      </c>
      <c r="Q37" s="22" t="s">
        <v>73</v>
      </c>
    </row>
    <row r="38" spans="2:17" x14ac:dyDescent="0.4">
      <c r="B38" s="78" t="s">
        <v>71</v>
      </c>
      <c r="D38" s="70">
        <v>1</v>
      </c>
      <c r="E38" s="70">
        <f t="shared" ref="E38:O38" si="42">D38</f>
        <v>1</v>
      </c>
      <c r="F38" s="70">
        <f t="shared" si="42"/>
        <v>1</v>
      </c>
      <c r="G38" s="70">
        <f t="shared" si="42"/>
        <v>1</v>
      </c>
      <c r="H38" s="70">
        <f t="shared" si="42"/>
        <v>1</v>
      </c>
      <c r="I38" s="70">
        <f t="shared" si="42"/>
        <v>1</v>
      </c>
      <c r="J38" s="70">
        <f t="shared" si="42"/>
        <v>1</v>
      </c>
      <c r="K38" s="70">
        <f t="shared" si="42"/>
        <v>1</v>
      </c>
      <c r="L38" s="70">
        <f t="shared" si="42"/>
        <v>1</v>
      </c>
      <c r="M38" s="70">
        <f t="shared" si="42"/>
        <v>1</v>
      </c>
      <c r="N38" s="70">
        <f t="shared" si="42"/>
        <v>1</v>
      </c>
      <c r="O38" s="70">
        <f t="shared" si="42"/>
        <v>1</v>
      </c>
      <c r="P38" s="73">
        <f>SUM(D38:O38)</f>
        <v>12</v>
      </c>
      <c r="Q38" s="22" t="s">
        <v>73</v>
      </c>
    </row>
    <row r="39" spans="2:17" x14ac:dyDescent="0.4">
      <c r="B39" s="14" t="s">
        <v>72</v>
      </c>
      <c r="D39" s="70">
        <v>1</v>
      </c>
      <c r="E39" s="70">
        <f t="shared" ref="E39:O39" si="43">D39</f>
        <v>1</v>
      </c>
      <c r="F39" s="70">
        <f t="shared" si="43"/>
        <v>1</v>
      </c>
      <c r="G39" s="70">
        <f t="shared" si="43"/>
        <v>1</v>
      </c>
      <c r="H39" s="70">
        <f t="shared" si="43"/>
        <v>1</v>
      </c>
      <c r="I39" s="70">
        <f t="shared" si="43"/>
        <v>1</v>
      </c>
      <c r="J39" s="70">
        <f t="shared" si="43"/>
        <v>1</v>
      </c>
      <c r="K39" s="70">
        <f t="shared" si="43"/>
        <v>1</v>
      </c>
      <c r="L39" s="70">
        <f t="shared" si="43"/>
        <v>1</v>
      </c>
      <c r="M39" s="70">
        <f t="shared" si="43"/>
        <v>1</v>
      </c>
      <c r="N39" s="70">
        <f t="shared" si="43"/>
        <v>1</v>
      </c>
      <c r="O39" s="70">
        <f t="shared" si="43"/>
        <v>1</v>
      </c>
      <c r="P39" s="73">
        <f>SUM(D39:O39)</f>
        <v>12</v>
      </c>
      <c r="Q39" s="22" t="s">
        <v>73</v>
      </c>
    </row>
    <row r="40" spans="2:17" x14ac:dyDescent="0.4">
      <c r="B40" s="14" t="s">
        <v>75</v>
      </c>
      <c r="C40" s="37"/>
      <c r="D40" s="70">
        <v>1</v>
      </c>
      <c r="E40" s="70">
        <f>D40</f>
        <v>1</v>
      </c>
      <c r="F40" s="70">
        <f t="shared" ref="F40:O41" si="44">E40</f>
        <v>1</v>
      </c>
      <c r="G40" s="70">
        <f t="shared" si="44"/>
        <v>1</v>
      </c>
      <c r="H40" s="70">
        <f t="shared" si="44"/>
        <v>1</v>
      </c>
      <c r="I40" s="70">
        <f t="shared" si="44"/>
        <v>1</v>
      </c>
      <c r="J40" s="70">
        <f t="shared" si="44"/>
        <v>1</v>
      </c>
      <c r="K40" s="70">
        <f t="shared" si="44"/>
        <v>1</v>
      </c>
      <c r="L40" s="70">
        <f t="shared" si="44"/>
        <v>1</v>
      </c>
      <c r="M40" s="70">
        <f t="shared" si="44"/>
        <v>1</v>
      </c>
      <c r="N40" s="70">
        <f t="shared" si="44"/>
        <v>1</v>
      </c>
      <c r="O40" s="70">
        <f t="shared" si="44"/>
        <v>1</v>
      </c>
      <c r="P40" s="73">
        <f>SUM(D40:O40)</f>
        <v>12</v>
      </c>
      <c r="Q40" s="22" t="s">
        <v>73</v>
      </c>
    </row>
    <row r="41" spans="2:17" x14ac:dyDescent="0.4">
      <c r="B41" s="27" t="s">
        <v>112</v>
      </c>
      <c r="C41" s="37"/>
      <c r="D41" s="70">
        <f>7000*0</f>
        <v>0</v>
      </c>
      <c r="E41" s="70">
        <v>7000</v>
      </c>
      <c r="F41" s="70">
        <v>7000</v>
      </c>
      <c r="G41" s="70">
        <f>F41</f>
        <v>7000</v>
      </c>
      <c r="H41" s="70">
        <f t="shared" si="44"/>
        <v>7000</v>
      </c>
      <c r="I41" s="70">
        <f t="shared" si="44"/>
        <v>7000</v>
      </c>
      <c r="J41" s="70">
        <f t="shared" si="44"/>
        <v>7000</v>
      </c>
      <c r="K41" s="70">
        <f t="shared" si="44"/>
        <v>7000</v>
      </c>
      <c r="L41" s="70">
        <f t="shared" si="44"/>
        <v>7000</v>
      </c>
      <c r="M41" s="70">
        <f t="shared" si="44"/>
        <v>7000</v>
      </c>
      <c r="N41" s="70">
        <f t="shared" si="44"/>
        <v>7000</v>
      </c>
      <c r="O41" s="70">
        <f t="shared" si="44"/>
        <v>7000</v>
      </c>
      <c r="P41" s="73">
        <f t="shared" ref="P41:P43" si="45">SUM(D41:O41)</f>
        <v>77000</v>
      </c>
    </row>
    <row r="42" spans="2:17" x14ac:dyDescent="0.4">
      <c r="B42" s="27" t="s">
        <v>113</v>
      </c>
      <c r="C42" s="37"/>
      <c r="D42" s="70">
        <v>2200</v>
      </c>
      <c r="E42" s="70">
        <v>2200</v>
      </c>
      <c r="F42" s="70">
        <v>2200</v>
      </c>
      <c r="G42" s="70">
        <v>2200</v>
      </c>
      <c r="H42" s="70">
        <v>2200</v>
      </c>
      <c r="I42" s="70">
        <v>2200</v>
      </c>
      <c r="J42" s="70">
        <v>2200</v>
      </c>
      <c r="K42" s="70">
        <v>2200</v>
      </c>
      <c r="L42" s="70">
        <v>2200</v>
      </c>
      <c r="M42" s="70">
        <v>2200</v>
      </c>
      <c r="N42" s="70">
        <v>2200</v>
      </c>
      <c r="O42" s="70">
        <v>2200</v>
      </c>
      <c r="P42" s="73">
        <f t="shared" si="45"/>
        <v>26400</v>
      </c>
    </row>
    <row r="43" spans="2:17" x14ac:dyDescent="0.4">
      <c r="B43" s="14" t="s">
        <v>94</v>
      </c>
      <c r="C43" s="37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3">
        <f t="shared" si="45"/>
        <v>0</v>
      </c>
    </row>
    <row r="44" spans="2:17" x14ac:dyDescent="0.4">
      <c r="B44" s="32"/>
      <c r="C44" s="37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</row>
    <row r="45" spans="2:17" x14ac:dyDescent="0.4">
      <c r="B45" s="29" t="s">
        <v>9</v>
      </c>
      <c r="C45" s="10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</row>
    <row r="46" spans="2:17" x14ac:dyDescent="0.4">
      <c r="B46" s="28" t="s">
        <v>93</v>
      </c>
      <c r="C46" s="10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3"/>
    </row>
    <row r="47" spans="2:17" x14ac:dyDescent="0.4">
      <c r="B47" s="66" t="s">
        <v>95</v>
      </c>
      <c r="D47" s="63">
        <v>765000</v>
      </c>
      <c r="E47" s="63">
        <f>D47</f>
        <v>765000</v>
      </c>
      <c r="F47" s="63">
        <f t="shared" ref="F47:O47" si="46">E47</f>
        <v>765000</v>
      </c>
      <c r="G47" s="63">
        <f t="shared" si="46"/>
        <v>765000</v>
      </c>
      <c r="H47" s="63">
        <f t="shared" si="46"/>
        <v>765000</v>
      </c>
      <c r="I47" s="63">
        <f t="shared" si="46"/>
        <v>765000</v>
      </c>
      <c r="J47" s="63">
        <f t="shared" si="46"/>
        <v>765000</v>
      </c>
      <c r="K47" s="63">
        <f t="shared" si="46"/>
        <v>765000</v>
      </c>
      <c r="L47" s="63">
        <f t="shared" si="46"/>
        <v>765000</v>
      </c>
      <c r="M47" s="63">
        <f t="shared" si="46"/>
        <v>765000</v>
      </c>
      <c r="N47" s="63">
        <f t="shared" si="46"/>
        <v>765000</v>
      </c>
      <c r="O47" s="63">
        <f t="shared" si="46"/>
        <v>765000</v>
      </c>
      <c r="P47" s="73"/>
    </row>
    <row r="48" spans="2:17" x14ac:dyDescent="0.4">
      <c r="B48" s="27" t="s">
        <v>96</v>
      </c>
      <c r="C48" s="10"/>
      <c r="D48" s="63">
        <v>450000</v>
      </c>
      <c r="E48" s="63">
        <f t="shared" ref="E48:O48" si="47">D48</f>
        <v>450000</v>
      </c>
      <c r="F48" s="63">
        <f t="shared" si="47"/>
        <v>450000</v>
      </c>
      <c r="G48" s="63">
        <f t="shared" si="47"/>
        <v>450000</v>
      </c>
      <c r="H48" s="63">
        <f t="shared" si="47"/>
        <v>450000</v>
      </c>
      <c r="I48" s="63">
        <f t="shared" si="47"/>
        <v>450000</v>
      </c>
      <c r="J48" s="63">
        <f t="shared" si="47"/>
        <v>450000</v>
      </c>
      <c r="K48" s="63">
        <f t="shared" si="47"/>
        <v>450000</v>
      </c>
      <c r="L48" s="63">
        <f t="shared" si="47"/>
        <v>450000</v>
      </c>
      <c r="M48" s="63">
        <f t="shared" si="47"/>
        <v>450000</v>
      </c>
      <c r="N48" s="63">
        <f t="shared" si="47"/>
        <v>450000</v>
      </c>
      <c r="O48" s="63">
        <f t="shared" si="47"/>
        <v>450000</v>
      </c>
      <c r="P48" s="73"/>
      <c r="Q48" s="22" t="s">
        <v>74</v>
      </c>
    </row>
    <row r="49" spans="2:16" x14ac:dyDescent="0.4">
      <c r="B49" s="27" t="s">
        <v>99</v>
      </c>
      <c r="C49" s="10"/>
      <c r="D49" s="63">
        <v>380000</v>
      </c>
      <c r="E49" s="63">
        <f t="shared" ref="E49:O49" si="48">D49</f>
        <v>380000</v>
      </c>
      <c r="F49" s="63">
        <f t="shared" si="48"/>
        <v>380000</v>
      </c>
      <c r="G49" s="63">
        <f t="shared" si="48"/>
        <v>380000</v>
      </c>
      <c r="H49" s="63">
        <f t="shared" si="48"/>
        <v>380000</v>
      </c>
      <c r="I49" s="63">
        <f t="shared" si="48"/>
        <v>380000</v>
      </c>
      <c r="J49" s="63">
        <f t="shared" si="48"/>
        <v>380000</v>
      </c>
      <c r="K49" s="63">
        <f t="shared" si="48"/>
        <v>380000</v>
      </c>
      <c r="L49" s="63">
        <f t="shared" si="48"/>
        <v>380000</v>
      </c>
      <c r="M49" s="63">
        <f t="shared" si="48"/>
        <v>380000</v>
      </c>
      <c r="N49" s="63">
        <f t="shared" si="48"/>
        <v>380000</v>
      </c>
      <c r="O49" s="63">
        <f t="shared" si="48"/>
        <v>380000</v>
      </c>
      <c r="P49" s="73"/>
    </row>
    <row r="50" spans="2:16" x14ac:dyDescent="0.4">
      <c r="B50" s="27" t="s">
        <v>102</v>
      </c>
      <c r="C50" s="10"/>
      <c r="D50" s="63">
        <v>450000</v>
      </c>
      <c r="E50" s="63">
        <f t="shared" ref="E50:O50" si="49">D50</f>
        <v>450000</v>
      </c>
      <c r="F50" s="63">
        <f t="shared" si="49"/>
        <v>450000</v>
      </c>
      <c r="G50" s="63">
        <f t="shared" si="49"/>
        <v>450000</v>
      </c>
      <c r="H50" s="63">
        <f t="shared" si="49"/>
        <v>450000</v>
      </c>
      <c r="I50" s="63">
        <f t="shared" si="49"/>
        <v>450000</v>
      </c>
      <c r="J50" s="63">
        <f t="shared" si="49"/>
        <v>450000</v>
      </c>
      <c r="K50" s="63">
        <f t="shared" si="49"/>
        <v>450000</v>
      </c>
      <c r="L50" s="63">
        <f t="shared" si="49"/>
        <v>450000</v>
      </c>
      <c r="M50" s="63">
        <f t="shared" si="49"/>
        <v>450000</v>
      </c>
      <c r="N50" s="63">
        <f t="shared" si="49"/>
        <v>450000</v>
      </c>
      <c r="O50" s="63">
        <f t="shared" si="49"/>
        <v>450000</v>
      </c>
      <c r="P50" s="73"/>
    </row>
    <row r="51" spans="2:16" x14ac:dyDescent="0.4">
      <c r="B51" s="66" t="s">
        <v>97</v>
      </c>
      <c r="C51" s="10"/>
      <c r="D51" s="63">
        <v>1500000</v>
      </c>
      <c r="E51" s="63">
        <f t="shared" ref="E51:O51" si="50">D51</f>
        <v>1500000</v>
      </c>
      <c r="F51" s="63">
        <f t="shared" si="50"/>
        <v>1500000</v>
      </c>
      <c r="G51" s="63">
        <f t="shared" si="50"/>
        <v>1500000</v>
      </c>
      <c r="H51" s="63">
        <f t="shared" si="50"/>
        <v>1500000</v>
      </c>
      <c r="I51" s="63">
        <f t="shared" si="50"/>
        <v>1500000</v>
      </c>
      <c r="J51" s="63">
        <f t="shared" si="50"/>
        <v>1500000</v>
      </c>
      <c r="K51" s="63">
        <f t="shared" si="50"/>
        <v>1500000</v>
      </c>
      <c r="L51" s="63">
        <f t="shared" si="50"/>
        <v>1500000</v>
      </c>
      <c r="M51" s="63">
        <f t="shared" si="50"/>
        <v>1500000</v>
      </c>
      <c r="N51" s="63">
        <f t="shared" si="50"/>
        <v>1500000</v>
      </c>
      <c r="O51" s="63">
        <f t="shared" si="50"/>
        <v>1500000</v>
      </c>
      <c r="P51" s="73"/>
    </row>
    <row r="52" spans="2:16" x14ac:dyDescent="0.4">
      <c r="B52" s="27" t="s">
        <v>98</v>
      </c>
      <c r="C52" s="10"/>
      <c r="D52" s="63">
        <v>850000</v>
      </c>
      <c r="E52" s="63">
        <f t="shared" ref="E52:O52" si="51">D52</f>
        <v>850000</v>
      </c>
      <c r="F52" s="63">
        <f t="shared" si="51"/>
        <v>850000</v>
      </c>
      <c r="G52" s="63">
        <f t="shared" si="51"/>
        <v>850000</v>
      </c>
      <c r="H52" s="63">
        <f t="shared" si="51"/>
        <v>850000</v>
      </c>
      <c r="I52" s="63">
        <f t="shared" si="51"/>
        <v>850000</v>
      </c>
      <c r="J52" s="63">
        <f t="shared" si="51"/>
        <v>850000</v>
      </c>
      <c r="K52" s="63">
        <f t="shared" si="51"/>
        <v>850000</v>
      </c>
      <c r="L52" s="63">
        <f t="shared" si="51"/>
        <v>850000</v>
      </c>
      <c r="M52" s="63">
        <f t="shared" si="51"/>
        <v>850000</v>
      </c>
      <c r="N52" s="63">
        <f t="shared" si="51"/>
        <v>850000</v>
      </c>
      <c r="O52" s="63">
        <f t="shared" si="51"/>
        <v>850000</v>
      </c>
      <c r="P52" s="73"/>
    </row>
    <row r="53" spans="2:16" x14ac:dyDescent="0.4">
      <c r="B53" s="27" t="s">
        <v>100</v>
      </c>
      <c r="C53" s="10"/>
      <c r="D53" s="63">
        <v>450000</v>
      </c>
      <c r="E53" s="63">
        <f t="shared" ref="E53:O53" si="52">D53</f>
        <v>450000</v>
      </c>
      <c r="F53" s="63">
        <f t="shared" si="52"/>
        <v>450000</v>
      </c>
      <c r="G53" s="63">
        <f t="shared" si="52"/>
        <v>450000</v>
      </c>
      <c r="H53" s="63">
        <f t="shared" si="52"/>
        <v>450000</v>
      </c>
      <c r="I53" s="63">
        <f t="shared" si="52"/>
        <v>450000</v>
      </c>
      <c r="J53" s="63">
        <f t="shared" si="52"/>
        <v>450000</v>
      </c>
      <c r="K53" s="63">
        <f t="shared" si="52"/>
        <v>450000</v>
      </c>
      <c r="L53" s="63">
        <f t="shared" si="52"/>
        <v>450000</v>
      </c>
      <c r="M53" s="63">
        <f t="shared" si="52"/>
        <v>450000</v>
      </c>
      <c r="N53" s="63">
        <f t="shared" si="52"/>
        <v>450000</v>
      </c>
      <c r="O53" s="63">
        <f t="shared" si="52"/>
        <v>450000</v>
      </c>
      <c r="P53" s="73"/>
    </row>
    <row r="54" spans="2:16" x14ac:dyDescent="0.4">
      <c r="B54" s="27" t="s">
        <v>103</v>
      </c>
      <c r="C54" s="10"/>
      <c r="D54" s="63">
        <v>850000</v>
      </c>
      <c r="E54" s="63">
        <f t="shared" ref="E54:O54" si="53">D54</f>
        <v>850000</v>
      </c>
      <c r="F54" s="63">
        <f t="shared" si="53"/>
        <v>850000</v>
      </c>
      <c r="G54" s="63">
        <f t="shared" si="53"/>
        <v>850000</v>
      </c>
      <c r="H54" s="63">
        <f t="shared" si="53"/>
        <v>850000</v>
      </c>
      <c r="I54" s="63">
        <f t="shared" si="53"/>
        <v>850000</v>
      </c>
      <c r="J54" s="63">
        <f t="shared" si="53"/>
        <v>850000</v>
      </c>
      <c r="K54" s="63">
        <f t="shared" si="53"/>
        <v>850000</v>
      </c>
      <c r="L54" s="63">
        <f t="shared" si="53"/>
        <v>850000</v>
      </c>
      <c r="M54" s="63">
        <f t="shared" si="53"/>
        <v>850000</v>
      </c>
      <c r="N54" s="63">
        <f t="shared" si="53"/>
        <v>850000</v>
      </c>
      <c r="O54" s="63">
        <f t="shared" si="53"/>
        <v>850000</v>
      </c>
      <c r="P54" s="73"/>
    </row>
    <row r="55" spans="2:16" x14ac:dyDescent="0.4">
      <c r="B55" s="32"/>
      <c r="C55" s="37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3"/>
    </row>
    <row r="56" spans="2:16" x14ac:dyDescent="0.4">
      <c r="B56" s="28" t="s">
        <v>92</v>
      </c>
      <c r="C56" s="37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3"/>
    </row>
    <row r="57" spans="2:16" x14ac:dyDescent="0.4">
      <c r="B57" s="78" t="s">
        <v>70</v>
      </c>
      <c r="D57" s="74">
        <f>4308855.62+517144</f>
        <v>4825999.62</v>
      </c>
      <c r="E57" s="74">
        <f t="shared" ref="E57:E62" si="54">D57</f>
        <v>4825999.62</v>
      </c>
      <c r="F57" s="74">
        <f t="shared" ref="F57:O57" si="55">E57</f>
        <v>4825999.62</v>
      </c>
      <c r="G57" s="74">
        <f t="shared" si="55"/>
        <v>4825999.62</v>
      </c>
      <c r="H57" s="74">
        <f t="shared" si="55"/>
        <v>4825999.62</v>
      </c>
      <c r="I57" s="74">
        <f t="shared" si="55"/>
        <v>4825999.62</v>
      </c>
      <c r="J57" s="74">
        <f t="shared" si="55"/>
        <v>4825999.62</v>
      </c>
      <c r="K57" s="74">
        <f t="shared" si="55"/>
        <v>4825999.62</v>
      </c>
      <c r="L57" s="74">
        <f t="shared" si="55"/>
        <v>4825999.62</v>
      </c>
      <c r="M57" s="74">
        <f t="shared" si="55"/>
        <v>4825999.62</v>
      </c>
      <c r="N57" s="74">
        <f t="shared" si="55"/>
        <v>4825999.62</v>
      </c>
      <c r="O57" s="74">
        <f t="shared" si="55"/>
        <v>4825999.62</v>
      </c>
      <c r="P57" s="73"/>
    </row>
    <row r="58" spans="2:16" x14ac:dyDescent="0.4">
      <c r="B58" s="78" t="s">
        <v>71</v>
      </c>
      <c r="D58" s="74">
        <v>2631766.63</v>
      </c>
      <c r="E58" s="74">
        <f t="shared" si="54"/>
        <v>2631766.63</v>
      </c>
      <c r="F58" s="74">
        <f t="shared" ref="F58:O58" si="56">E58</f>
        <v>2631766.63</v>
      </c>
      <c r="G58" s="74">
        <f t="shared" si="56"/>
        <v>2631766.63</v>
      </c>
      <c r="H58" s="74">
        <f t="shared" si="56"/>
        <v>2631766.63</v>
      </c>
      <c r="I58" s="74">
        <f t="shared" si="56"/>
        <v>2631766.63</v>
      </c>
      <c r="J58" s="74">
        <f t="shared" si="56"/>
        <v>2631766.63</v>
      </c>
      <c r="K58" s="74">
        <f t="shared" si="56"/>
        <v>2631766.63</v>
      </c>
      <c r="L58" s="74">
        <f t="shared" si="56"/>
        <v>2631766.63</v>
      </c>
      <c r="M58" s="74">
        <f t="shared" si="56"/>
        <v>2631766.63</v>
      </c>
      <c r="N58" s="74">
        <f t="shared" si="56"/>
        <v>2631766.63</v>
      </c>
      <c r="O58" s="74">
        <f t="shared" si="56"/>
        <v>2631766.63</v>
      </c>
      <c r="P58" s="73"/>
    </row>
    <row r="59" spans="2:16" x14ac:dyDescent="0.4">
      <c r="B59" s="14" t="s">
        <v>72</v>
      </c>
      <c r="D59" s="74">
        <f>450000+159150</f>
        <v>609150</v>
      </c>
      <c r="E59" s="74">
        <f t="shared" si="54"/>
        <v>609150</v>
      </c>
      <c r="F59" s="74">
        <f t="shared" ref="F59:O61" si="57">E59</f>
        <v>609150</v>
      </c>
      <c r="G59" s="74">
        <f t="shared" si="57"/>
        <v>609150</v>
      </c>
      <c r="H59" s="74">
        <f t="shared" si="57"/>
        <v>609150</v>
      </c>
      <c r="I59" s="74">
        <f t="shared" si="57"/>
        <v>609150</v>
      </c>
      <c r="J59" s="74">
        <f t="shared" si="57"/>
        <v>609150</v>
      </c>
      <c r="K59" s="74">
        <f t="shared" si="57"/>
        <v>609150</v>
      </c>
      <c r="L59" s="74">
        <f t="shared" si="57"/>
        <v>609150</v>
      </c>
      <c r="M59" s="74">
        <f t="shared" si="57"/>
        <v>609150</v>
      </c>
      <c r="N59" s="74">
        <f t="shared" si="57"/>
        <v>609150</v>
      </c>
      <c r="O59" s="74">
        <f t="shared" si="57"/>
        <v>609150</v>
      </c>
      <c r="P59" s="73"/>
    </row>
    <row r="60" spans="2:16" ht="15" customHeight="1" x14ac:dyDescent="0.4">
      <c r="B60" s="14" t="s">
        <v>75</v>
      </c>
      <c r="D60" s="79">
        <f>(9095833.25/3)+1538922.82583333</f>
        <v>4570867.242499996</v>
      </c>
      <c r="E60" s="79">
        <f t="shared" si="54"/>
        <v>4570867.242499996</v>
      </c>
      <c r="F60" s="79">
        <f t="shared" si="57"/>
        <v>4570867.242499996</v>
      </c>
      <c r="G60" s="79">
        <f t="shared" si="57"/>
        <v>4570867.242499996</v>
      </c>
      <c r="H60" s="79">
        <f t="shared" si="57"/>
        <v>4570867.242499996</v>
      </c>
      <c r="I60" s="79">
        <f t="shared" si="57"/>
        <v>4570867.242499996</v>
      </c>
      <c r="J60" s="79">
        <f t="shared" si="57"/>
        <v>4570867.242499996</v>
      </c>
      <c r="K60" s="79">
        <f t="shared" si="57"/>
        <v>4570867.242499996</v>
      </c>
      <c r="L60" s="79">
        <f t="shared" si="57"/>
        <v>4570867.242499996</v>
      </c>
      <c r="M60" s="79">
        <f t="shared" si="57"/>
        <v>4570867.242499996</v>
      </c>
      <c r="N60" s="79">
        <f t="shared" si="57"/>
        <v>4570867.242499996</v>
      </c>
      <c r="O60" s="79">
        <f t="shared" si="57"/>
        <v>4570867.242499996</v>
      </c>
      <c r="P60" s="73"/>
    </row>
    <row r="61" spans="2:16" ht="15" customHeight="1" x14ac:dyDescent="0.4">
      <c r="B61" s="27" t="s">
        <v>112</v>
      </c>
      <c r="D61" s="79">
        <f>(177333333.333333/7000+38544)</f>
        <v>63877.333333333285</v>
      </c>
      <c r="E61" s="79">
        <f t="shared" si="54"/>
        <v>63877.333333333285</v>
      </c>
      <c r="F61" s="79">
        <f t="shared" si="57"/>
        <v>63877.333333333285</v>
      </c>
      <c r="G61" s="79">
        <f t="shared" si="57"/>
        <v>63877.333333333285</v>
      </c>
      <c r="H61" s="79">
        <f t="shared" si="57"/>
        <v>63877.333333333285</v>
      </c>
      <c r="I61" s="79">
        <f t="shared" si="57"/>
        <v>63877.333333333285</v>
      </c>
      <c r="J61" s="79">
        <f t="shared" si="57"/>
        <v>63877.333333333285</v>
      </c>
      <c r="K61" s="79">
        <f t="shared" si="57"/>
        <v>63877.333333333285</v>
      </c>
      <c r="L61" s="79">
        <f t="shared" si="57"/>
        <v>63877.333333333285</v>
      </c>
      <c r="M61" s="79">
        <f t="shared" si="57"/>
        <v>63877.333333333285</v>
      </c>
      <c r="N61" s="79">
        <f t="shared" si="57"/>
        <v>63877.333333333285</v>
      </c>
      <c r="O61" s="79">
        <f t="shared" si="57"/>
        <v>63877.333333333285</v>
      </c>
      <c r="P61" s="73"/>
    </row>
    <row r="62" spans="2:16" ht="15" customHeight="1" x14ac:dyDescent="0.4">
      <c r="B62" s="27" t="s">
        <v>113</v>
      </c>
      <c r="D62" s="79">
        <f>((350000/12)+60000)</f>
        <v>89166.666666666672</v>
      </c>
      <c r="E62" s="79">
        <f t="shared" si="54"/>
        <v>89166.666666666672</v>
      </c>
      <c r="F62" s="79">
        <f t="shared" ref="F62" si="58">E62</f>
        <v>89166.666666666672</v>
      </c>
      <c r="G62" s="79">
        <f t="shared" ref="G62" si="59">F62</f>
        <v>89166.666666666672</v>
      </c>
      <c r="H62" s="79">
        <f t="shared" ref="H62" si="60">G62</f>
        <v>89166.666666666672</v>
      </c>
      <c r="I62" s="79">
        <f t="shared" ref="I62" si="61">H62</f>
        <v>89166.666666666672</v>
      </c>
      <c r="J62" s="79">
        <f t="shared" ref="J62" si="62">I62</f>
        <v>89166.666666666672</v>
      </c>
      <c r="K62" s="79">
        <f t="shared" ref="K62" si="63">J62</f>
        <v>89166.666666666672</v>
      </c>
      <c r="L62" s="79">
        <f t="shared" ref="L62" si="64">K62</f>
        <v>89166.666666666672</v>
      </c>
      <c r="M62" s="79">
        <f t="shared" ref="M62" si="65">L62</f>
        <v>89166.666666666672</v>
      </c>
      <c r="N62" s="79">
        <f t="shared" ref="N62" si="66">M62</f>
        <v>89166.666666666672</v>
      </c>
      <c r="O62" s="79">
        <f t="shared" ref="O62" si="67">N62</f>
        <v>89166.666666666672</v>
      </c>
      <c r="P62" s="73"/>
    </row>
    <row r="63" spans="2:16" ht="15" hidden="1" customHeight="1" x14ac:dyDescent="0.4">
      <c r="B63" s="14" t="s">
        <v>94</v>
      </c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3"/>
    </row>
    <row r="64" spans="2:16" x14ac:dyDescent="0.4">
      <c r="B64" s="32"/>
      <c r="C64" s="37"/>
      <c r="D64" s="90"/>
      <c r="O64" s="74">
        <v>28479666</v>
      </c>
    </row>
    <row r="65" spans="2:22" x14ac:dyDescent="0.4">
      <c r="B65" s="29" t="s">
        <v>34</v>
      </c>
      <c r="O65" s="73">
        <f>O64-P17</f>
        <v>21169866</v>
      </c>
    </row>
    <row r="66" spans="2:22" x14ac:dyDescent="0.4">
      <c r="B66" s="28"/>
      <c r="C66" s="28"/>
      <c r="D66" s="10" t="s">
        <v>26</v>
      </c>
      <c r="E66" s="10" t="s">
        <v>28</v>
      </c>
      <c r="F66" s="10" t="s">
        <v>29</v>
      </c>
      <c r="G66" s="10" t="s">
        <v>30</v>
      </c>
      <c r="H66" s="10" t="s">
        <v>31</v>
      </c>
      <c r="I66" s="10" t="s">
        <v>67</v>
      </c>
      <c r="O66" s="73">
        <f>O65/12</f>
        <v>1764155.5</v>
      </c>
    </row>
    <row r="67" spans="2:22" x14ac:dyDescent="0.4">
      <c r="B67" s="28" t="s">
        <v>17</v>
      </c>
      <c r="C67" s="28"/>
      <c r="E67" s="40">
        <v>0.15</v>
      </c>
      <c r="F67" s="40">
        <v>0.15</v>
      </c>
      <c r="G67" s="40">
        <v>0.15</v>
      </c>
      <c r="H67" s="40">
        <v>0.15</v>
      </c>
      <c r="I67" s="40"/>
      <c r="J67" s="41"/>
      <c r="K67" s="41"/>
      <c r="L67" s="41"/>
      <c r="M67" s="41"/>
      <c r="N67" s="41"/>
    </row>
    <row r="68" spans="2:22" x14ac:dyDescent="0.4">
      <c r="B68" s="28" t="s">
        <v>18</v>
      </c>
      <c r="C68" s="28"/>
      <c r="E68" s="40">
        <v>0.15</v>
      </c>
      <c r="F68" s="40">
        <v>0.15</v>
      </c>
      <c r="G68" s="40">
        <v>0.15</v>
      </c>
      <c r="H68" s="40">
        <v>0.15</v>
      </c>
      <c r="I68" s="40"/>
      <c r="J68" s="41"/>
      <c r="K68" s="41"/>
      <c r="L68" s="41"/>
      <c r="M68" s="41"/>
      <c r="N68" s="41"/>
    </row>
    <row r="69" spans="2:22" x14ac:dyDescent="0.4">
      <c r="B69" s="28"/>
      <c r="C69" s="28"/>
      <c r="E69" s="40"/>
      <c r="F69" s="40"/>
      <c r="G69" s="40"/>
      <c r="H69" s="40"/>
      <c r="I69" s="51"/>
      <c r="J69" s="41"/>
      <c r="K69" s="41"/>
      <c r="L69" s="41"/>
      <c r="M69" s="41"/>
      <c r="N69" s="41"/>
    </row>
    <row r="70" spans="2:22" x14ac:dyDescent="0.4">
      <c r="B70" s="27" t="s">
        <v>20</v>
      </c>
      <c r="C70" s="6">
        <v>10</v>
      </c>
      <c r="E70" s="40">
        <v>0.2</v>
      </c>
      <c r="F70" s="40">
        <v>0.2</v>
      </c>
      <c r="G70" s="40">
        <v>0.2</v>
      </c>
      <c r="H70" s="40">
        <v>0.2</v>
      </c>
      <c r="J70" s="41"/>
      <c r="K70" s="41"/>
      <c r="L70" s="41"/>
      <c r="M70" s="41"/>
      <c r="N70" s="41"/>
    </row>
    <row r="71" spans="2:22" x14ac:dyDescent="0.4">
      <c r="B71" s="27" t="s">
        <v>35</v>
      </c>
      <c r="C71" s="44">
        <v>0.35</v>
      </c>
      <c r="D71" s="90">
        <f>((3443676535.2185/12*0)+(P23/12)*C71)</f>
        <v>75139557.555708334</v>
      </c>
      <c r="E71" s="40">
        <v>0.1</v>
      </c>
      <c r="F71" s="40">
        <v>0.08</v>
      </c>
      <c r="G71" s="40">
        <v>0.08</v>
      </c>
      <c r="H71" s="40">
        <v>0.06</v>
      </c>
      <c r="I71" s="40">
        <f>D71/D23</f>
        <v>0.35</v>
      </c>
      <c r="J71" s="41"/>
      <c r="K71" s="41"/>
      <c r="L71" s="41"/>
      <c r="M71" s="41"/>
      <c r="N71" s="41"/>
    </row>
    <row r="72" spans="2:22" x14ac:dyDescent="0.4">
      <c r="B72" s="27" t="s">
        <v>44</v>
      </c>
      <c r="C72" s="44"/>
      <c r="D72" s="5">
        <f>U88</f>
        <v>5249350</v>
      </c>
      <c r="E72" s="40">
        <v>0.1</v>
      </c>
      <c r="F72" s="40">
        <v>0.08</v>
      </c>
      <c r="G72" s="40">
        <v>0.05</v>
      </c>
      <c r="H72" s="40">
        <v>0.05</v>
      </c>
      <c r="I72" s="40"/>
      <c r="J72" s="41"/>
      <c r="K72" s="41"/>
      <c r="L72" s="41"/>
      <c r="M72" s="41"/>
      <c r="N72" s="41"/>
    </row>
    <row r="73" spans="2:22" x14ac:dyDescent="0.4">
      <c r="B73" s="27" t="s">
        <v>48</v>
      </c>
      <c r="C73" s="44">
        <v>0.01</v>
      </c>
      <c r="D73" s="5">
        <f>$P$23*C73</f>
        <v>25762134.019100003</v>
      </c>
      <c r="E73" s="40"/>
      <c r="F73" s="40"/>
      <c r="G73" s="40"/>
      <c r="H73" s="40"/>
      <c r="I73" s="40"/>
      <c r="J73" s="41"/>
      <c r="K73" s="41"/>
      <c r="L73" s="41"/>
      <c r="M73" s="41"/>
      <c r="N73" s="41"/>
    </row>
    <row r="74" spans="2:22" x14ac:dyDescent="0.4">
      <c r="B74" s="27" t="s">
        <v>45</v>
      </c>
      <c r="C74" s="44">
        <v>0</v>
      </c>
      <c r="D74" s="5">
        <f>$P$23*C74</f>
        <v>0</v>
      </c>
      <c r="I74" s="41"/>
      <c r="J74" s="41"/>
      <c r="K74" s="41"/>
      <c r="L74" s="41"/>
      <c r="M74" s="41"/>
      <c r="N74" s="41"/>
    </row>
    <row r="75" spans="2:22" x14ac:dyDescent="0.4">
      <c r="D75" s="5"/>
    </row>
    <row r="76" spans="2:22" x14ac:dyDescent="0.4">
      <c r="B76" s="27" t="s">
        <v>15</v>
      </c>
      <c r="D76" s="5"/>
    </row>
    <row r="77" spans="2:22" x14ac:dyDescent="0.4">
      <c r="B77" s="22" t="s">
        <v>77</v>
      </c>
      <c r="C77" s="44">
        <v>0</v>
      </c>
      <c r="D77" s="5">
        <f>$P$23*C77</f>
        <v>0</v>
      </c>
      <c r="E77" s="40">
        <v>0.1</v>
      </c>
      <c r="F77" s="40">
        <v>0.1</v>
      </c>
      <c r="G77" s="40">
        <v>0.1</v>
      </c>
      <c r="H77" s="40">
        <v>0.1</v>
      </c>
      <c r="I77" s="41"/>
      <c r="R77" s="27" t="s">
        <v>78</v>
      </c>
      <c r="S77" s="27"/>
      <c r="T77" s="27"/>
      <c r="U77" s="27"/>
      <c r="V77" s="27"/>
    </row>
    <row r="78" spans="2:22" x14ac:dyDescent="0.4">
      <c r="B78" s="22" t="s">
        <v>69</v>
      </c>
      <c r="C78" s="44">
        <v>0.01</v>
      </c>
      <c r="D78" s="5">
        <f>($P$23*C78)/12*0</f>
        <v>0</v>
      </c>
      <c r="E78" s="41"/>
      <c r="F78" s="41"/>
      <c r="G78" s="41"/>
      <c r="H78" s="41"/>
      <c r="I78" s="27" t="s">
        <v>47</v>
      </c>
      <c r="R78" s="27" t="s">
        <v>81</v>
      </c>
      <c r="S78" s="6">
        <v>1</v>
      </c>
      <c r="T78" s="80">
        <f>1648628.56641109+1000000</f>
        <v>2648628.5664110901</v>
      </c>
      <c r="U78" s="81">
        <f>T78*0.25</f>
        <v>662157.14160277252</v>
      </c>
      <c r="V78" s="27" t="s">
        <v>82</v>
      </c>
    </row>
    <row r="79" spans="2:22" x14ac:dyDescent="0.4">
      <c r="B79" s="22" t="s">
        <v>14</v>
      </c>
      <c r="C79" s="43">
        <v>1E-3</v>
      </c>
      <c r="D79" s="5">
        <f>($P$23*C79)/12</f>
        <v>214684.45015916671</v>
      </c>
      <c r="E79" s="41"/>
      <c r="F79" s="41"/>
      <c r="G79" s="41"/>
      <c r="H79" s="41"/>
      <c r="I79" s="27" t="s">
        <v>16</v>
      </c>
      <c r="R79" s="27" t="s">
        <v>83</v>
      </c>
      <c r="S79" s="6">
        <v>1</v>
      </c>
      <c r="T79" s="80">
        <v>684286.29333333333</v>
      </c>
      <c r="U79" s="81">
        <f>T79*0.25</f>
        <v>171071.57333333333</v>
      </c>
      <c r="V79" s="27" t="s">
        <v>82</v>
      </c>
    </row>
    <row r="80" spans="2:22" x14ac:dyDescent="0.4">
      <c r="B80" s="22" t="s">
        <v>49</v>
      </c>
      <c r="D80" s="5">
        <v>200000</v>
      </c>
      <c r="E80" s="41"/>
      <c r="F80" s="41"/>
      <c r="G80" s="41"/>
      <c r="H80" s="41"/>
      <c r="I80" s="41"/>
      <c r="R80" s="27"/>
      <c r="S80" s="27"/>
      <c r="T80" s="27"/>
      <c r="U80" s="27"/>
      <c r="V80" s="27"/>
    </row>
    <row r="81" spans="2:22" x14ac:dyDescent="0.4">
      <c r="B81" s="22" t="s">
        <v>37</v>
      </c>
      <c r="C81" s="44">
        <v>0</v>
      </c>
      <c r="D81" s="5">
        <f>5000000/12*0</f>
        <v>0</v>
      </c>
      <c r="E81" s="41"/>
      <c r="F81" s="41"/>
      <c r="G81" s="41"/>
      <c r="H81" s="41"/>
      <c r="I81" s="41"/>
      <c r="R81" s="27"/>
      <c r="S81" s="27"/>
      <c r="T81" s="27"/>
      <c r="U81" s="82">
        <f>SUM(U78:U79)</f>
        <v>833228.71493610588</v>
      </c>
      <c r="V81" s="27"/>
    </row>
    <row r="82" spans="2:22" x14ac:dyDescent="0.4">
      <c r="B82" s="22" t="s">
        <v>13</v>
      </c>
      <c r="D82" s="5">
        <v>125000</v>
      </c>
      <c r="E82" s="41"/>
      <c r="F82" s="41"/>
      <c r="G82" s="41"/>
      <c r="H82" s="41"/>
      <c r="I82" s="41"/>
      <c r="K82" s="77"/>
    </row>
    <row r="83" spans="2:22" x14ac:dyDescent="0.4">
      <c r="B83" s="22" t="s">
        <v>27</v>
      </c>
      <c r="D83" s="5">
        <f t="shared" ref="D83:D86" si="68">$P$23*C83</f>
        <v>0</v>
      </c>
      <c r="E83" s="41"/>
      <c r="F83" s="41"/>
      <c r="G83" s="41"/>
      <c r="H83" s="41"/>
      <c r="I83" s="41"/>
      <c r="K83" s="77"/>
      <c r="R83" s="14" t="s">
        <v>106</v>
      </c>
      <c r="S83" s="6">
        <v>1</v>
      </c>
      <c r="T83" s="87">
        <v>506275</v>
      </c>
      <c r="U83" s="89">
        <f>S83*T83</f>
        <v>506275</v>
      </c>
    </row>
    <row r="84" spans="2:22" x14ac:dyDescent="0.4">
      <c r="B84" s="22" t="s">
        <v>89</v>
      </c>
      <c r="D84" s="5">
        <f>7000000/12*0</f>
        <v>0</v>
      </c>
      <c r="E84" s="41"/>
      <c r="F84" s="41"/>
      <c r="G84" s="41"/>
      <c r="H84" s="41"/>
      <c r="I84" s="41"/>
      <c r="K84" s="77"/>
      <c r="R84" s="14" t="s">
        <v>107</v>
      </c>
      <c r="S84" s="6">
        <v>1</v>
      </c>
      <c r="T84" s="88">
        <v>925000</v>
      </c>
      <c r="U84" s="89">
        <f t="shared" ref="U84:U87" si="69">S84*T84</f>
        <v>925000</v>
      </c>
    </row>
    <row r="85" spans="2:22" x14ac:dyDescent="0.4">
      <c r="B85" s="22" t="s">
        <v>12</v>
      </c>
      <c r="D85" s="5">
        <v>0</v>
      </c>
      <c r="E85" s="41"/>
      <c r="F85" s="41"/>
      <c r="G85" s="41"/>
      <c r="H85" s="41"/>
      <c r="I85" s="41"/>
      <c r="K85" s="77">
        <v>27994978.316933122</v>
      </c>
      <c r="R85" s="14" t="s">
        <v>105</v>
      </c>
      <c r="S85" s="6">
        <v>4</v>
      </c>
      <c r="T85" s="87">
        <v>473750</v>
      </c>
      <c r="U85" s="89">
        <f t="shared" si="69"/>
        <v>1895000</v>
      </c>
    </row>
    <row r="86" spans="2:22" x14ac:dyDescent="0.4">
      <c r="B86" s="22" t="s">
        <v>11</v>
      </c>
      <c r="D86" s="5">
        <f t="shared" si="68"/>
        <v>0</v>
      </c>
      <c r="E86" s="41"/>
      <c r="F86" s="41"/>
      <c r="G86" s="41"/>
      <c r="H86" s="41"/>
      <c r="I86" s="41"/>
      <c r="K86" s="77">
        <f>K85/12</f>
        <v>2332914.8597444268</v>
      </c>
      <c r="R86" s="14" t="s">
        <v>108</v>
      </c>
      <c r="S86" s="6">
        <v>2</v>
      </c>
      <c r="T86" s="87">
        <v>213675</v>
      </c>
      <c r="U86" s="89">
        <f t="shared" si="69"/>
        <v>427350</v>
      </c>
    </row>
    <row r="87" spans="2:22" x14ac:dyDescent="0.4">
      <c r="B87" s="22" t="s">
        <v>50</v>
      </c>
      <c r="D87" s="5">
        <v>200000</v>
      </c>
      <c r="E87" s="41"/>
      <c r="F87" s="41"/>
      <c r="G87" s="41"/>
      <c r="H87" s="41"/>
      <c r="I87" s="41"/>
      <c r="R87" s="14" t="s">
        <v>109</v>
      </c>
      <c r="S87" s="6">
        <v>7</v>
      </c>
      <c r="T87" s="87">
        <v>213675</v>
      </c>
      <c r="U87" s="89">
        <f t="shared" si="69"/>
        <v>1495725</v>
      </c>
    </row>
    <row r="88" spans="2:22" x14ac:dyDescent="0.4">
      <c r="B88" s="22" t="s">
        <v>51</v>
      </c>
      <c r="D88" s="5">
        <v>120000</v>
      </c>
      <c r="E88" s="41"/>
      <c r="F88" s="41"/>
      <c r="G88" s="41"/>
      <c r="H88" s="41"/>
      <c r="I88" s="41"/>
      <c r="U88" s="89">
        <f>SUM(U83:U87)</f>
        <v>5249350</v>
      </c>
    </row>
    <row r="89" spans="2:22" x14ac:dyDescent="0.4">
      <c r="B89" s="27" t="s">
        <v>52</v>
      </c>
      <c r="C89" s="44"/>
      <c r="D89" s="54">
        <f>1500000/12</f>
        <v>125000</v>
      </c>
    </row>
    <row r="90" spans="2:22" x14ac:dyDescent="0.4">
      <c r="B90" s="27" t="s">
        <v>68</v>
      </c>
      <c r="D90" s="54">
        <v>700000</v>
      </c>
      <c r="Q90" s="87"/>
    </row>
    <row r="91" spans="2:22" x14ac:dyDescent="0.4">
      <c r="B91" s="27" t="s">
        <v>114</v>
      </c>
      <c r="D91" s="90">
        <f>1242889307.60419/12*0</f>
        <v>0</v>
      </c>
      <c r="Q91" s="87"/>
    </row>
    <row r="92" spans="2:22" x14ac:dyDescent="0.4">
      <c r="B92" s="27" t="s">
        <v>115</v>
      </c>
      <c r="D92" s="90">
        <f>(1242889307.60419/12)*21%</f>
        <v>21750562.883073326</v>
      </c>
      <c r="Q92" s="87"/>
    </row>
    <row r="93" spans="2:22" x14ac:dyDescent="0.4">
      <c r="D93" s="90"/>
      <c r="Q93" s="87"/>
    </row>
    <row r="94" spans="2:22" x14ac:dyDescent="0.4">
      <c r="D94" s="90"/>
    </row>
  </sheetData>
  <dataValidations disablePrompts="1" count="1">
    <dataValidation type="list" allowBlank="1" showInputMessage="1" showErrorMessage="1" sqref="C3 C5:C12 C28:C35 C48:C54" xr:uid="{72CE46BD-FDDB-4707-A55B-BC5F6C32FECE}">
      <formula1>"Upside,Downside,Base case"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30D6-542E-47E2-BBE7-2F31927FD25F}">
  <sheetPr>
    <tabColor theme="4" tint="0.59999389629810485"/>
    <outlinePr summaryRight="0"/>
  </sheetPr>
  <dimension ref="A2:Y53"/>
  <sheetViews>
    <sheetView showGridLines="0" view="pageBreakPreview" zoomScale="94" zoomScaleNormal="100" zoomScaleSheetLayoutView="100" workbookViewId="0">
      <pane xSplit="3" ySplit="4" topLeftCell="D5" activePane="bottomRight" state="frozen"/>
      <selection activeCell="I6" sqref="I6"/>
      <selection pane="topRight" activeCell="I6" sqref="I6"/>
      <selection pane="bottomLeft" activeCell="I6" sqref="I6"/>
      <selection pane="bottomRight" activeCell="I6" sqref="I6"/>
    </sheetView>
  </sheetViews>
  <sheetFormatPr defaultColWidth="9.1796875" defaultRowHeight="16" outlineLevelRow="1" outlineLevelCol="1" x14ac:dyDescent="0.35"/>
  <cols>
    <col min="1" max="1" width="1.453125" style="6" customWidth="1"/>
    <col min="2" max="2" width="32.08984375" style="14" bestFit="1" customWidth="1"/>
    <col min="3" max="3" width="7.08984375" style="6" bestFit="1" customWidth="1"/>
    <col min="4" max="15" width="15.36328125" style="6" customWidth="1" outlineLevel="1"/>
    <col min="16" max="16" width="16.54296875" style="10" bestFit="1" customWidth="1" collapsed="1"/>
    <col min="17" max="17" width="21.54296875" style="56" hidden="1" customWidth="1" outlineLevel="1"/>
    <col min="18" max="18" width="22" style="56" hidden="1" customWidth="1" outlineLevel="1"/>
    <col min="19" max="19" width="21" style="56" hidden="1" customWidth="1" outlineLevel="1"/>
    <col min="20" max="20" width="21.81640625" style="56" hidden="1" customWidth="1" outlineLevel="1"/>
    <col min="21" max="21" width="21.81640625" style="6" customWidth="1"/>
    <col min="22" max="16384" width="9.1796875" style="6"/>
  </cols>
  <sheetData>
    <row r="2" spans="1:25" ht="16.5" thickBot="1" x14ac:dyDescent="0.4">
      <c r="B2" s="1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5"/>
    </row>
    <row r="3" spans="1:25" s="10" customFormat="1" ht="17" thickTop="1" thickBot="1" x14ac:dyDescent="0.4">
      <c r="A3" s="7"/>
      <c r="B3" s="8"/>
      <c r="C3" s="7"/>
      <c r="D3" s="9" t="s">
        <v>55</v>
      </c>
      <c r="E3" s="9" t="s">
        <v>56</v>
      </c>
      <c r="F3" s="9" t="s">
        <v>57</v>
      </c>
      <c r="G3" s="9" t="s">
        <v>58</v>
      </c>
      <c r="H3" s="9" t="s">
        <v>0</v>
      </c>
      <c r="I3" s="9" t="s">
        <v>59</v>
      </c>
      <c r="J3" s="9" t="s">
        <v>60</v>
      </c>
      <c r="K3" s="9" t="s">
        <v>61</v>
      </c>
      <c r="L3" s="9" t="s">
        <v>62</v>
      </c>
      <c r="M3" s="9" t="s">
        <v>63</v>
      </c>
      <c r="N3" s="9" t="s">
        <v>64</v>
      </c>
      <c r="O3" s="9" t="s">
        <v>65</v>
      </c>
      <c r="P3" s="7" t="s">
        <v>26</v>
      </c>
      <c r="Q3" s="7" t="s">
        <v>28</v>
      </c>
      <c r="R3" s="7" t="s">
        <v>29</v>
      </c>
      <c r="S3" s="7" t="s">
        <v>30</v>
      </c>
      <c r="T3" s="7" t="s">
        <v>31</v>
      </c>
      <c r="U3" s="5"/>
      <c r="V3" s="6"/>
      <c r="W3" s="6"/>
      <c r="X3" s="6"/>
      <c r="Y3" s="6"/>
    </row>
    <row r="4" spans="1:25" ht="17" thickTop="1" thickBot="1" x14ac:dyDescent="0.4">
      <c r="A4" s="7"/>
      <c r="B4" s="8"/>
      <c r="C4" s="7"/>
      <c r="D4" s="7" t="s">
        <v>80</v>
      </c>
      <c r="E4" s="7" t="s">
        <v>80</v>
      </c>
      <c r="F4" s="7" t="s">
        <v>80</v>
      </c>
      <c r="G4" s="7" t="s">
        <v>80</v>
      </c>
      <c r="H4" s="7" t="s">
        <v>80</v>
      </c>
      <c r="I4" s="7" t="s">
        <v>80</v>
      </c>
      <c r="J4" s="7" t="s">
        <v>80</v>
      </c>
      <c r="K4" s="7" t="s">
        <v>80</v>
      </c>
      <c r="L4" s="7" t="s">
        <v>80</v>
      </c>
      <c r="M4" s="7" t="s">
        <v>80</v>
      </c>
      <c r="N4" s="7" t="s">
        <v>80</v>
      </c>
      <c r="O4" s="7" t="s">
        <v>80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1</v>
      </c>
      <c r="U4" s="5"/>
    </row>
    <row r="5" spans="1:25" ht="18" customHeight="1" thickTop="1" thickBot="1" x14ac:dyDescent="0.4">
      <c r="B5" s="11" t="s">
        <v>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/>
      <c r="R5" s="13"/>
      <c r="S5" s="13"/>
      <c r="T5" s="13"/>
      <c r="U5" s="5"/>
    </row>
    <row r="6" spans="1:25" ht="18" customHeight="1" x14ac:dyDescent="0.4">
      <c r="B6" s="58" t="s">
        <v>93</v>
      </c>
      <c r="D6" s="54">
        <f>VLOOKUP($B6,'Assumption (MedClinic)'!$B:$P,3,FALSE)</f>
        <v>2880000</v>
      </c>
      <c r="E6" s="54">
        <f>VLOOKUP($B6,'Assumption (MedClinic)'!$B:$P,4,FALSE)</f>
        <v>2880000</v>
      </c>
      <c r="F6" s="54">
        <f>VLOOKUP($B6,'Assumption (MedClinic)'!$B:$P,5,FALSE)</f>
        <v>2880000</v>
      </c>
      <c r="G6" s="54">
        <f>VLOOKUP($B6,'Assumption (MedClinic)'!$B:$P,6,FALSE)</f>
        <v>2880000</v>
      </c>
      <c r="H6" s="54">
        <f>VLOOKUP($B6,'Assumption (MedClinic)'!$B:$P,7,FALSE)</f>
        <v>2880000</v>
      </c>
      <c r="I6" s="54">
        <f>VLOOKUP($B6,'Assumption (MedClinic)'!$B:$P,8,FALSE)</f>
        <v>2880000</v>
      </c>
      <c r="J6" s="54">
        <f>VLOOKUP($B6,'Assumption (MedClinic)'!$B:$P,9,FALSE)</f>
        <v>2880000</v>
      </c>
      <c r="K6" s="54">
        <f>VLOOKUP($B6,'Assumption (MedClinic)'!$B:$P,10,FALSE)</f>
        <v>2880000</v>
      </c>
      <c r="L6" s="54">
        <f>VLOOKUP($B6,'Assumption (MedClinic)'!$B:$P,11,FALSE)</f>
        <v>2880000</v>
      </c>
      <c r="M6" s="54">
        <f>VLOOKUP($B6,'Assumption (MedClinic)'!$B:$P,12,FALSE)</f>
        <v>2880000</v>
      </c>
      <c r="N6" s="54">
        <f>VLOOKUP($B6,'Assumption (MedClinic)'!$B:$P,13,FALSE)</f>
        <v>2880000</v>
      </c>
      <c r="O6" s="54">
        <f>VLOOKUP($B6,'Assumption (MedClinic)'!$B:$P,14,FALSE)</f>
        <v>2880000</v>
      </c>
      <c r="P6" s="59">
        <f>SUM(D6:O6)</f>
        <v>34560000</v>
      </c>
      <c r="Q6" s="54">
        <f>P6*(1+'[2]Assumption (Advisory)'!E$45)*(1+'[2]Assumption (Advisory)'!E$48)</f>
        <v>47692800</v>
      </c>
      <c r="R6" s="54">
        <f>Q6*(1+'[2]Assumption (Advisory)'!F$45)*(1+'[2]Assumption (Advisory)'!F$48)</f>
        <v>65816063.999999985</v>
      </c>
      <c r="S6" s="54">
        <f>R6*(1+'[2]Assumption (Advisory)'!G$45)*(1+'[2]Assumption (Advisory)'!G$48)</f>
        <v>90826168.319999978</v>
      </c>
      <c r="T6" s="54">
        <f>S6*(1+'[2]Assumption (Advisory)'!H$45)*(1+'[2]Assumption (Advisory)'!H$48)</f>
        <v>125340112.28159997</v>
      </c>
      <c r="U6" s="5"/>
    </row>
    <row r="7" spans="1:25" x14ac:dyDescent="0.4">
      <c r="B7" s="58" t="s">
        <v>92</v>
      </c>
      <c r="D7" s="54">
        <f>VLOOKUP($B7,'Assumption (MedClinic)'!$B:$P,3,FALSE)</f>
        <v>211804450.15916669</v>
      </c>
      <c r="E7" s="54">
        <f>VLOOKUP($B7,'Assumption (MedClinic)'!$B:$P,4,FALSE)</f>
        <v>211804450.15916669</v>
      </c>
      <c r="F7" s="54">
        <f>VLOOKUP($B7,'Assumption (MedClinic)'!$B:$P,5,FALSE)</f>
        <v>211804450.15916669</v>
      </c>
      <c r="G7" s="54">
        <f>VLOOKUP($B7,'Assumption (MedClinic)'!$B:$P,6,FALSE)</f>
        <v>211804450.15916669</v>
      </c>
      <c r="H7" s="54">
        <f>VLOOKUP($B7,'Assumption (MedClinic)'!$B:$P,7,FALSE)</f>
        <v>211804450.15916669</v>
      </c>
      <c r="I7" s="54">
        <f>VLOOKUP($B7,'Assumption (MedClinic)'!$B:$P,8,FALSE)</f>
        <v>211804450.15916669</v>
      </c>
      <c r="J7" s="54">
        <f>VLOOKUP($B7,'Assumption (MedClinic)'!$B:$P,9,FALSE)</f>
        <v>211804450.15916669</v>
      </c>
      <c r="K7" s="54">
        <f>VLOOKUP($B7,'Assumption (MedClinic)'!$B:$P,10,FALSE)</f>
        <v>211804450.15916669</v>
      </c>
      <c r="L7" s="54">
        <f>VLOOKUP($B7,'Assumption (MedClinic)'!$B:$P,11,FALSE)</f>
        <v>211804450.15916669</v>
      </c>
      <c r="M7" s="54">
        <f>VLOOKUP($B7,'Assumption (MedClinic)'!$B:$P,12,FALSE)</f>
        <v>211804450.15916669</v>
      </c>
      <c r="N7" s="54">
        <f>VLOOKUP($B7,'Assumption (MedClinic)'!$B:$P,13,FALSE)</f>
        <v>211804450.15916669</v>
      </c>
      <c r="O7" s="54">
        <f>VLOOKUP($B7,'Assumption (MedClinic)'!$B:$P,14,FALSE)</f>
        <v>211804450.15916669</v>
      </c>
      <c r="P7" s="59">
        <f>SUM(D7:O7)</f>
        <v>2541653401.9100008</v>
      </c>
      <c r="Q7" s="54">
        <f>P7*(1+'[2]Assumption (Advisory)'!E$45)*(1+'[2]Assumption (Advisory)'!E$48)</f>
        <v>3507481694.6358008</v>
      </c>
      <c r="R7" s="54">
        <f>Q7*(1+'[2]Assumption (Advisory)'!F$45)*(1+'[2]Assumption (Advisory)'!F$48)</f>
        <v>4840324738.5974045</v>
      </c>
      <c r="S7" s="54">
        <f>R7*(1+'[2]Assumption (Advisory)'!G$45)*(1+'[2]Assumption (Advisory)'!G$48)</f>
        <v>6679648139.2644167</v>
      </c>
      <c r="T7" s="54">
        <f>S7*(1+'[2]Assumption (Advisory)'!H$45)*(1+'[2]Assumption (Advisory)'!H$48)</f>
        <v>9217914432.1848946</v>
      </c>
      <c r="U7" s="5"/>
    </row>
    <row r="8" spans="1:25" ht="16.5" thickBot="1" x14ac:dyDescent="0.4">
      <c r="B8" s="11"/>
      <c r="C8" s="11"/>
      <c r="D8" s="19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60"/>
      <c r="Q8" s="60"/>
      <c r="R8" s="60"/>
      <c r="S8" s="60"/>
      <c r="T8" s="60"/>
      <c r="U8" s="5"/>
    </row>
    <row r="9" spans="1:25" s="10" customFormat="1" ht="16.5" thickBot="1" x14ac:dyDescent="0.4">
      <c r="B9" s="11" t="s">
        <v>3</v>
      </c>
      <c r="C9" s="11"/>
      <c r="D9" s="19">
        <f t="shared" ref="D9:T9" si="0">SUM(D6:D7)</f>
        <v>214684450.15916669</v>
      </c>
      <c r="E9" s="19">
        <f t="shared" si="0"/>
        <v>214684450.15916669</v>
      </c>
      <c r="F9" s="19">
        <f t="shared" si="0"/>
        <v>214684450.15916669</v>
      </c>
      <c r="G9" s="19">
        <f t="shared" si="0"/>
        <v>214684450.15916669</v>
      </c>
      <c r="H9" s="19">
        <f t="shared" si="0"/>
        <v>214684450.15916669</v>
      </c>
      <c r="I9" s="19">
        <f t="shared" si="0"/>
        <v>214684450.15916669</v>
      </c>
      <c r="J9" s="19">
        <f t="shared" si="0"/>
        <v>214684450.15916669</v>
      </c>
      <c r="K9" s="19">
        <f t="shared" si="0"/>
        <v>214684450.15916669</v>
      </c>
      <c r="L9" s="19">
        <f t="shared" si="0"/>
        <v>214684450.15916669</v>
      </c>
      <c r="M9" s="19">
        <f t="shared" si="0"/>
        <v>214684450.15916669</v>
      </c>
      <c r="N9" s="19">
        <f t="shared" si="0"/>
        <v>214684450.15916669</v>
      </c>
      <c r="O9" s="19">
        <f t="shared" si="0"/>
        <v>214684450.15916669</v>
      </c>
      <c r="P9" s="19">
        <f t="shared" si="0"/>
        <v>2576213401.9100008</v>
      </c>
      <c r="Q9" s="23">
        <f t="shared" si="0"/>
        <v>3555174494.6358008</v>
      </c>
      <c r="R9" s="23">
        <f t="shared" si="0"/>
        <v>4906140802.5974045</v>
      </c>
      <c r="S9" s="23">
        <f t="shared" si="0"/>
        <v>6770474307.5844164</v>
      </c>
      <c r="T9" s="23">
        <f t="shared" si="0"/>
        <v>9343254544.4664936</v>
      </c>
      <c r="U9" s="5"/>
      <c r="V9" s="6"/>
      <c r="W9" s="6"/>
      <c r="X9" s="6"/>
      <c r="Y9" s="6"/>
    </row>
    <row r="10" spans="1:25" x14ac:dyDescent="0.35"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9"/>
      <c r="Q10" s="40"/>
      <c r="R10" s="40"/>
      <c r="S10" s="40"/>
      <c r="T10" s="40"/>
      <c r="U10" s="5"/>
    </row>
    <row r="11" spans="1:25" ht="16.5" thickBot="1" x14ac:dyDescent="0.4">
      <c r="B11" s="11" t="s">
        <v>4</v>
      </c>
      <c r="C11" s="12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5"/>
    </row>
    <row r="12" spans="1:25" x14ac:dyDescent="0.35">
      <c r="B12" s="27" t="s">
        <v>35</v>
      </c>
      <c r="C12" s="45"/>
      <c r="D12" s="54">
        <f>VLOOKUP($B12,'Assumption (MedClinic)'!$B:$P,3,FALSE)</f>
        <v>75139557.555708334</v>
      </c>
      <c r="E12" s="54">
        <f>D12</f>
        <v>75139557.555708334</v>
      </c>
      <c r="F12" s="54">
        <f t="shared" ref="F12:O12" si="1">E12</f>
        <v>75139557.555708334</v>
      </c>
      <c r="G12" s="54">
        <f t="shared" si="1"/>
        <v>75139557.555708334</v>
      </c>
      <c r="H12" s="54">
        <f t="shared" si="1"/>
        <v>75139557.555708334</v>
      </c>
      <c r="I12" s="54">
        <f t="shared" si="1"/>
        <v>75139557.555708334</v>
      </c>
      <c r="J12" s="54">
        <f t="shared" si="1"/>
        <v>75139557.555708334</v>
      </c>
      <c r="K12" s="54">
        <f t="shared" si="1"/>
        <v>75139557.555708334</v>
      </c>
      <c r="L12" s="54">
        <f t="shared" si="1"/>
        <v>75139557.555708334</v>
      </c>
      <c r="M12" s="54">
        <f t="shared" si="1"/>
        <v>75139557.555708334</v>
      </c>
      <c r="N12" s="54">
        <f t="shared" si="1"/>
        <v>75139557.555708334</v>
      </c>
      <c r="O12" s="54">
        <f t="shared" si="1"/>
        <v>75139557.555708334</v>
      </c>
      <c r="P12" s="59">
        <f>SUM(D12:O12)</f>
        <v>901674690.66849983</v>
      </c>
      <c r="Q12" s="54"/>
      <c r="R12" s="54"/>
      <c r="S12" s="54"/>
      <c r="T12" s="54"/>
      <c r="U12" s="5"/>
    </row>
    <row r="13" spans="1:25" x14ac:dyDescent="0.35">
      <c r="B13" s="27" t="s">
        <v>44</v>
      </c>
      <c r="C13" s="44"/>
      <c r="D13" s="54">
        <f>VLOOKUP($B13,'Assumption (MedClinic)'!$B:$P,3,FALSE)/12</f>
        <v>437445.83333333331</v>
      </c>
      <c r="E13" s="54">
        <f t="shared" ref="E13:O15" si="2">D13</f>
        <v>437445.83333333331</v>
      </c>
      <c r="F13" s="54">
        <f t="shared" si="2"/>
        <v>437445.83333333331</v>
      </c>
      <c r="G13" s="54">
        <f t="shared" si="2"/>
        <v>437445.83333333331</v>
      </c>
      <c r="H13" s="54">
        <f t="shared" si="2"/>
        <v>437445.83333333331</v>
      </c>
      <c r="I13" s="54">
        <f t="shared" si="2"/>
        <v>437445.83333333331</v>
      </c>
      <c r="J13" s="54">
        <f t="shared" si="2"/>
        <v>437445.83333333331</v>
      </c>
      <c r="K13" s="54">
        <f t="shared" si="2"/>
        <v>437445.83333333331</v>
      </c>
      <c r="L13" s="54">
        <f t="shared" si="2"/>
        <v>437445.83333333331</v>
      </c>
      <c r="M13" s="54">
        <f t="shared" si="2"/>
        <v>437445.83333333331</v>
      </c>
      <c r="N13" s="54">
        <f t="shared" si="2"/>
        <v>437445.83333333331</v>
      </c>
      <c r="O13" s="54">
        <f t="shared" si="2"/>
        <v>437445.83333333331</v>
      </c>
      <c r="P13" s="59">
        <f t="shared" ref="P13:P15" si="3">SUM(D13:O13)</f>
        <v>5249350</v>
      </c>
      <c r="Q13" s="54">
        <f>P13*(1+'[2]Assumption (Advisory)'!E$45)*(1+'[2]Assumption (Advisory)'!E$48)</f>
        <v>7244102.9999999991</v>
      </c>
      <c r="R13" s="54">
        <f>Q13*(1+'[2]Assumption (Advisory)'!F$45)*(1+'[2]Assumption (Advisory)'!F$48)</f>
        <v>9996862.1399999969</v>
      </c>
      <c r="S13" s="54">
        <f>R13*(1+'[2]Assumption (Advisory)'!G$45)*(1+'[2]Assumption (Advisory)'!G$48)</f>
        <v>13795669.753199995</v>
      </c>
      <c r="T13" s="54">
        <f>S13*(1+'[2]Assumption (Advisory)'!H$45)*(1+'[2]Assumption (Advisory)'!H$48)</f>
        <v>19038024.259415992</v>
      </c>
      <c r="U13" s="5"/>
    </row>
    <row r="14" spans="1:25" x14ac:dyDescent="0.35">
      <c r="B14" s="27" t="s">
        <v>48</v>
      </c>
      <c r="C14" s="45"/>
      <c r="D14" s="54">
        <f>VLOOKUP($B14,'Assumption (MedClinic)'!$B:$P,3,FALSE)/12</f>
        <v>2146844.5015916671</v>
      </c>
      <c r="E14" s="54">
        <f t="shared" si="2"/>
        <v>2146844.5015916671</v>
      </c>
      <c r="F14" s="54">
        <f t="shared" si="2"/>
        <v>2146844.5015916671</v>
      </c>
      <c r="G14" s="54">
        <f t="shared" si="2"/>
        <v>2146844.5015916671</v>
      </c>
      <c r="H14" s="54">
        <f t="shared" si="2"/>
        <v>2146844.5015916671</v>
      </c>
      <c r="I14" s="54">
        <f t="shared" si="2"/>
        <v>2146844.5015916671</v>
      </c>
      <c r="J14" s="54">
        <f t="shared" si="2"/>
        <v>2146844.5015916671</v>
      </c>
      <c r="K14" s="54">
        <f t="shared" si="2"/>
        <v>2146844.5015916671</v>
      </c>
      <c r="L14" s="54">
        <f t="shared" si="2"/>
        <v>2146844.5015916671</v>
      </c>
      <c r="M14" s="54">
        <f t="shared" si="2"/>
        <v>2146844.5015916671</v>
      </c>
      <c r="N14" s="54">
        <f t="shared" si="2"/>
        <v>2146844.5015916671</v>
      </c>
      <c r="O14" s="54">
        <f t="shared" si="2"/>
        <v>2146844.5015916671</v>
      </c>
      <c r="P14" s="59">
        <f t="shared" si="3"/>
        <v>25762134.019100007</v>
      </c>
      <c r="Q14" s="54">
        <f>P14*(1+'[2]Assumption (Advisory)'!E$45)*(1+'[2]Assumption (Advisory)'!E$48)</f>
        <v>35551744.946358003</v>
      </c>
      <c r="R14" s="54">
        <f>Q14*(1+'[2]Assumption (Advisory)'!F$45)*(1+'[2]Assumption (Advisory)'!F$48)</f>
        <v>49061408.025974043</v>
      </c>
      <c r="S14" s="54">
        <f>R14*(1+'[2]Assumption (Advisory)'!G$45)*(1+'[2]Assumption (Advisory)'!G$48)</f>
        <v>67704743.075844169</v>
      </c>
      <c r="T14" s="54">
        <f>S14*(1+'[2]Assumption (Advisory)'!H$45)*(1+'[2]Assumption (Advisory)'!H$48)</f>
        <v>93432545.44466494</v>
      </c>
      <c r="U14" s="5"/>
    </row>
    <row r="15" spans="1:25" x14ac:dyDescent="0.35">
      <c r="B15" s="27" t="s">
        <v>45</v>
      </c>
      <c r="C15" s="44"/>
      <c r="D15" s="54">
        <f>VLOOKUP($B15,'Assumption (MedClinic)'!$B:$P,3,FALSE)/12</f>
        <v>0</v>
      </c>
      <c r="E15" s="54">
        <f t="shared" si="2"/>
        <v>0</v>
      </c>
      <c r="F15" s="54">
        <f t="shared" si="2"/>
        <v>0</v>
      </c>
      <c r="G15" s="54">
        <f t="shared" si="2"/>
        <v>0</v>
      </c>
      <c r="H15" s="54">
        <f t="shared" si="2"/>
        <v>0</v>
      </c>
      <c r="I15" s="54">
        <f t="shared" si="2"/>
        <v>0</v>
      </c>
      <c r="J15" s="54">
        <f t="shared" si="2"/>
        <v>0</v>
      </c>
      <c r="K15" s="54">
        <f t="shared" si="2"/>
        <v>0</v>
      </c>
      <c r="L15" s="54">
        <f t="shared" si="2"/>
        <v>0</v>
      </c>
      <c r="M15" s="54">
        <f t="shared" si="2"/>
        <v>0</v>
      </c>
      <c r="N15" s="54">
        <f t="shared" si="2"/>
        <v>0</v>
      </c>
      <c r="O15" s="54">
        <f t="shared" si="2"/>
        <v>0</v>
      </c>
      <c r="P15" s="59">
        <f t="shared" si="3"/>
        <v>0</v>
      </c>
      <c r="Q15" s="54"/>
      <c r="R15" s="54">
        <f>Q15*(1+'[2]Assumption (Advisory)'!F$45)*(1+'[2]Assumption (Advisory)'!F$48)</f>
        <v>0</v>
      </c>
      <c r="S15" s="54">
        <f>R15*(1+'[2]Assumption (Advisory)'!G$45)*(1+'[2]Assumption (Advisory)'!G$48)</f>
        <v>0</v>
      </c>
      <c r="T15" s="54">
        <f>S15*(1+'[2]Assumption (Advisory)'!H$45)*(1+'[2]Assumption (Advisory)'!H$48)</f>
        <v>0</v>
      </c>
      <c r="U15" s="5"/>
    </row>
    <row r="16" spans="1:25" ht="16.5" thickBot="1" x14ac:dyDescent="0.4">
      <c r="B16" s="11"/>
      <c r="C16" s="11"/>
      <c r="D16" s="19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5"/>
    </row>
    <row r="17" spans="2:25" s="10" customFormat="1" ht="15" customHeight="1" thickBot="1" x14ac:dyDescent="0.4">
      <c r="B17" s="11" t="s">
        <v>25</v>
      </c>
      <c r="C17" s="11"/>
      <c r="D17" s="61">
        <f t="shared" ref="D17:T17" si="4">SUM(D12:D15)</f>
        <v>77723847.89063333</v>
      </c>
      <c r="E17" s="61">
        <f t="shared" si="4"/>
        <v>77723847.89063333</v>
      </c>
      <c r="F17" s="61">
        <f t="shared" si="4"/>
        <v>77723847.89063333</v>
      </c>
      <c r="G17" s="61">
        <f t="shared" si="4"/>
        <v>77723847.89063333</v>
      </c>
      <c r="H17" s="61">
        <f t="shared" si="4"/>
        <v>77723847.89063333</v>
      </c>
      <c r="I17" s="61">
        <f t="shared" si="4"/>
        <v>77723847.89063333</v>
      </c>
      <c r="J17" s="61">
        <f t="shared" si="4"/>
        <v>77723847.89063333</v>
      </c>
      <c r="K17" s="61">
        <f t="shared" si="4"/>
        <v>77723847.89063333</v>
      </c>
      <c r="L17" s="61">
        <f t="shared" si="4"/>
        <v>77723847.89063333</v>
      </c>
      <c r="M17" s="61">
        <f t="shared" si="4"/>
        <v>77723847.89063333</v>
      </c>
      <c r="N17" s="61">
        <f t="shared" si="4"/>
        <v>77723847.89063333</v>
      </c>
      <c r="O17" s="61">
        <f t="shared" si="4"/>
        <v>77723847.89063333</v>
      </c>
      <c r="P17" s="61">
        <f t="shared" si="4"/>
        <v>932686174.68759978</v>
      </c>
      <c r="Q17" s="60">
        <f t="shared" si="4"/>
        <v>42795847.946358003</v>
      </c>
      <c r="R17" s="60">
        <f t="shared" si="4"/>
        <v>59058270.165974036</v>
      </c>
      <c r="S17" s="60">
        <f t="shared" si="4"/>
        <v>81500412.829044163</v>
      </c>
      <c r="T17" s="60">
        <f t="shared" si="4"/>
        <v>112470569.70408094</v>
      </c>
      <c r="U17" s="5"/>
      <c r="V17" s="6"/>
      <c r="W17" s="6"/>
      <c r="X17" s="6"/>
      <c r="Y17" s="6"/>
    </row>
    <row r="18" spans="2:25" x14ac:dyDescent="0.35">
      <c r="D18" s="40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9"/>
      <c r="Q18" s="54"/>
      <c r="R18" s="54"/>
      <c r="S18" s="54"/>
      <c r="T18" s="54"/>
      <c r="U18" s="5"/>
    </row>
    <row r="19" spans="2:25" ht="16.5" thickBot="1" x14ac:dyDescent="0.4">
      <c r="B19" s="11" t="s">
        <v>10</v>
      </c>
      <c r="C19" s="20"/>
      <c r="D19" s="61">
        <f t="shared" ref="D19:T19" si="5">D9-D17</f>
        <v>136960602.26853335</v>
      </c>
      <c r="E19" s="61">
        <f t="shared" si="5"/>
        <v>136960602.26853335</v>
      </c>
      <c r="F19" s="61">
        <f t="shared" si="5"/>
        <v>136960602.26853335</v>
      </c>
      <c r="G19" s="61">
        <f t="shared" si="5"/>
        <v>136960602.26853335</v>
      </c>
      <c r="H19" s="61">
        <f t="shared" si="5"/>
        <v>136960602.26853335</v>
      </c>
      <c r="I19" s="61">
        <f t="shared" si="5"/>
        <v>136960602.26853335</v>
      </c>
      <c r="J19" s="61">
        <f t="shared" si="5"/>
        <v>136960602.26853335</v>
      </c>
      <c r="K19" s="61">
        <f t="shared" si="5"/>
        <v>136960602.26853335</v>
      </c>
      <c r="L19" s="61">
        <f t="shared" si="5"/>
        <v>136960602.26853335</v>
      </c>
      <c r="M19" s="61">
        <f t="shared" si="5"/>
        <v>136960602.26853335</v>
      </c>
      <c r="N19" s="61">
        <f t="shared" si="5"/>
        <v>136960602.26853335</v>
      </c>
      <c r="O19" s="61">
        <f t="shared" si="5"/>
        <v>136960602.26853335</v>
      </c>
      <c r="P19" s="62">
        <f t="shared" si="5"/>
        <v>1643527227.2224011</v>
      </c>
      <c r="Q19" s="62">
        <f t="shared" si="5"/>
        <v>3512378646.6894426</v>
      </c>
      <c r="R19" s="62">
        <f t="shared" si="5"/>
        <v>4847082532.4314308</v>
      </c>
      <c r="S19" s="62">
        <f t="shared" si="5"/>
        <v>6688973894.755372</v>
      </c>
      <c r="T19" s="62">
        <f t="shared" si="5"/>
        <v>9230783974.762413</v>
      </c>
      <c r="U19" s="5"/>
    </row>
    <row r="20" spans="2:25" x14ac:dyDescent="0.35"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9"/>
      <c r="Q20" s="54"/>
      <c r="R20" s="54"/>
      <c r="S20" s="54"/>
      <c r="T20" s="54"/>
      <c r="U20" s="5"/>
    </row>
    <row r="21" spans="2:25" ht="16.5" thickBot="1" x14ac:dyDescent="0.4">
      <c r="B21" s="11" t="s">
        <v>5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5"/>
    </row>
    <row r="22" spans="2:25" x14ac:dyDescent="0.4">
      <c r="B22" s="22" t="s">
        <v>77</v>
      </c>
      <c r="C22" s="44"/>
      <c r="D22" s="54">
        <f>VLOOKUP($B22,'Assumption (MedClinic)'!$B:$P,3,FALSE)</f>
        <v>0</v>
      </c>
      <c r="E22" s="54">
        <f>D22</f>
        <v>0</v>
      </c>
      <c r="F22" s="54">
        <f t="shared" ref="F22:O22" si="6">E22</f>
        <v>0</v>
      </c>
      <c r="G22" s="54">
        <f t="shared" si="6"/>
        <v>0</v>
      </c>
      <c r="H22" s="54">
        <f t="shared" si="6"/>
        <v>0</v>
      </c>
      <c r="I22" s="54">
        <f t="shared" si="6"/>
        <v>0</v>
      </c>
      <c r="J22" s="54">
        <f t="shared" si="6"/>
        <v>0</v>
      </c>
      <c r="K22" s="54">
        <f t="shared" si="6"/>
        <v>0</v>
      </c>
      <c r="L22" s="54">
        <f t="shared" si="6"/>
        <v>0</v>
      </c>
      <c r="M22" s="54">
        <f t="shared" si="6"/>
        <v>0</v>
      </c>
      <c r="N22" s="54">
        <f t="shared" si="6"/>
        <v>0</v>
      </c>
      <c r="O22" s="54">
        <f t="shared" si="6"/>
        <v>0</v>
      </c>
      <c r="P22" s="59">
        <f>SUM(D22:O22)</f>
        <v>0</v>
      </c>
      <c r="Q22" s="54">
        <f>P22*(1+'[2]Assumption (Advisory)'!E$55)</f>
        <v>0</v>
      </c>
      <c r="R22" s="54">
        <f>Q22*(1+'[2]Assumption (Advisory)'!F$55)</f>
        <v>0</v>
      </c>
      <c r="S22" s="54">
        <f>R22*(1+'[2]Assumption (Advisory)'!G$55)</f>
        <v>0</v>
      </c>
      <c r="T22" s="54">
        <f>S22*(1+'[2]Assumption (Advisory)'!H$55)</f>
        <v>0</v>
      </c>
      <c r="U22" s="5"/>
    </row>
    <row r="23" spans="2:25" x14ac:dyDescent="0.4">
      <c r="B23" s="22" t="s">
        <v>69</v>
      </c>
      <c r="D23" s="54">
        <f>VLOOKUP($B23,'Assumption (MedClinic)'!$B:$P,3,FALSE)</f>
        <v>0</v>
      </c>
      <c r="E23" s="54">
        <f t="shared" ref="E23:O36" si="7">D23</f>
        <v>0</v>
      </c>
      <c r="F23" s="54">
        <f t="shared" si="7"/>
        <v>0</v>
      </c>
      <c r="G23" s="54">
        <f t="shared" si="7"/>
        <v>0</v>
      </c>
      <c r="H23" s="54">
        <f t="shared" si="7"/>
        <v>0</v>
      </c>
      <c r="I23" s="54">
        <f t="shared" si="7"/>
        <v>0</v>
      </c>
      <c r="J23" s="54">
        <f t="shared" si="7"/>
        <v>0</v>
      </c>
      <c r="K23" s="54">
        <f t="shared" si="7"/>
        <v>0</v>
      </c>
      <c r="L23" s="54">
        <f t="shared" si="7"/>
        <v>0</v>
      </c>
      <c r="M23" s="54">
        <f t="shared" si="7"/>
        <v>0</v>
      </c>
      <c r="N23" s="54">
        <f t="shared" si="7"/>
        <v>0</v>
      </c>
      <c r="O23" s="54">
        <f t="shared" si="7"/>
        <v>0</v>
      </c>
      <c r="P23" s="59">
        <f t="shared" ref="P23:P36" si="8">SUM(D23:O23)</f>
        <v>0</v>
      </c>
      <c r="Q23" s="54">
        <f>P23*(1+'[2]Assumption (Advisory)'!E$46)</f>
        <v>0</v>
      </c>
      <c r="R23" s="54">
        <f>Q23*(1+'[2]Assumption (Advisory)'!F$46)</f>
        <v>0</v>
      </c>
      <c r="S23" s="54">
        <f>R23*(1+'[2]Assumption (Advisory)'!G$46)</f>
        <v>0</v>
      </c>
      <c r="T23" s="54">
        <f>S23*(1+'[2]Assumption (Advisory)'!H$46)</f>
        <v>0</v>
      </c>
      <c r="U23" s="5"/>
    </row>
    <row r="24" spans="2:25" x14ac:dyDescent="0.4">
      <c r="B24" s="22" t="s">
        <v>14</v>
      </c>
      <c r="D24" s="54">
        <f>VLOOKUP($B24,'Assumption (MedClinic)'!$B:$P,3,FALSE)</f>
        <v>214684.45015916671</v>
      </c>
      <c r="E24" s="54">
        <f t="shared" si="7"/>
        <v>214684.45015916671</v>
      </c>
      <c r="F24" s="54">
        <f t="shared" si="7"/>
        <v>214684.45015916671</v>
      </c>
      <c r="G24" s="54">
        <f t="shared" si="7"/>
        <v>214684.45015916671</v>
      </c>
      <c r="H24" s="54">
        <f t="shared" si="7"/>
        <v>214684.45015916671</v>
      </c>
      <c r="I24" s="54">
        <f t="shared" si="7"/>
        <v>214684.45015916671</v>
      </c>
      <c r="J24" s="54">
        <f t="shared" si="7"/>
        <v>214684.45015916671</v>
      </c>
      <c r="K24" s="54">
        <f t="shared" si="7"/>
        <v>214684.45015916671</v>
      </c>
      <c r="L24" s="54">
        <f t="shared" si="7"/>
        <v>214684.45015916671</v>
      </c>
      <c r="M24" s="54">
        <f t="shared" si="7"/>
        <v>214684.45015916671</v>
      </c>
      <c r="N24" s="54">
        <f t="shared" si="7"/>
        <v>214684.45015916671</v>
      </c>
      <c r="O24" s="54">
        <f t="shared" si="7"/>
        <v>214684.45015916671</v>
      </c>
      <c r="P24" s="59">
        <f t="shared" si="8"/>
        <v>2576213.4019100005</v>
      </c>
      <c r="Q24" s="54">
        <f>P24*(1+'[2]Assumption (Advisory)'!E$46)</f>
        <v>2962645.4121965002</v>
      </c>
      <c r="R24" s="54">
        <f>Q24*(1+'[2]Assumption (Advisory)'!F$46)</f>
        <v>3407042.224025975</v>
      </c>
      <c r="S24" s="54">
        <f>R24*(1+'[2]Assumption (Advisory)'!G$46)</f>
        <v>3918098.5576298707</v>
      </c>
      <c r="T24" s="54">
        <f>S24*(1+'[2]Assumption (Advisory)'!H$46)</f>
        <v>4505813.3412743509</v>
      </c>
      <c r="U24" s="5"/>
    </row>
    <row r="25" spans="2:25" x14ac:dyDescent="0.4">
      <c r="B25" s="22" t="s">
        <v>49</v>
      </c>
      <c r="D25" s="54">
        <f>VLOOKUP($B25,'Assumption (MedClinic)'!$B:$P,3,FALSE)</f>
        <v>200000</v>
      </c>
      <c r="E25" s="54">
        <f t="shared" si="7"/>
        <v>200000</v>
      </c>
      <c r="F25" s="54">
        <f t="shared" si="7"/>
        <v>200000</v>
      </c>
      <c r="G25" s="54">
        <f t="shared" si="7"/>
        <v>200000</v>
      </c>
      <c r="H25" s="54">
        <f t="shared" si="7"/>
        <v>200000</v>
      </c>
      <c r="I25" s="54">
        <f t="shared" si="7"/>
        <v>200000</v>
      </c>
      <c r="J25" s="54">
        <f t="shared" si="7"/>
        <v>200000</v>
      </c>
      <c r="K25" s="54">
        <f t="shared" si="7"/>
        <v>200000</v>
      </c>
      <c r="L25" s="54">
        <f t="shared" si="7"/>
        <v>200000</v>
      </c>
      <c r="M25" s="54">
        <f t="shared" si="7"/>
        <v>200000</v>
      </c>
      <c r="N25" s="54">
        <f t="shared" si="7"/>
        <v>200000</v>
      </c>
      <c r="O25" s="54">
        <f t="shared" si="7"/>
        <v>200000</v>
      </c>
      <c r="P25" s="59">
        <f t="shared" si="8"/>
        <v>2400000</v>
      </c>
      <c r="Q25" s="54">
        <f>P25*(1+'[2]Assumption (Advisory)'!E$46)</f>
        <v>2760000</v>
      </c>
      <c r="R25" s="54">
        <f>Q25*(1+'[2]Assumption (Advisory)'!F$46)</f>
        <v>3173999.9999999995</v>
      </c>
      <c r="S25" s="54">
        <f>R25*(1+'[2]Assumption (Advisory)'!G$46)</f>
        <v>3650099.9999999991</v>
      </c>
      <c r="T25" s="54">
        <f>S25*(1+'[2]Assumption (Advisory)'!H$46)</f>
        <v>4197614.9999999991</v>
      </c>
      <c r="U25" s="5"/>
    </row>
    <row r="26" spans="2:25" x14ac:dyDescent="0.4">
      <c r="B26" s="22" t="s">
        <v>37</v>
      </c>
      <c r="D26" s="54">
        <f>VLOOKUP($B26,'Assumption (MedClinic)'!$B:$P,3,FALSE)</f>
        <v>0</v>
      </c>
      <c r="E26" s="54">
        <f t="shared" si="7"/>
        <v>0</v>
      </c>
      <c r="F26" s="54">
        <f t="shared" si="7"/>
        <v>0</v>
      </c>
      <c r="G26" s="54">
        <f t="shared" si="7"/>
        <v>0</v>
      </c>
      <c r="H26" s="54">
        <f t="shared" si="7"/>
        <v>0</v>
      </c>
      <c r="I26" s="54">
        <f t="shared" si="7"/>
        <v>0</v>
      </c>
      <c r="J26" s="54">
        <f t="shared" si="7"/>
        <v>0</v>
      </c>
      <c r="K26" s="54">
        <f t="shared" si="7"/>
        <v>0</v>
      </c>
      <c r="L26" s="54">
        <f t="shared" si="7"/>
        <v>0</v>
      </c>
      <c r="M26" s="54">
        <f t="shared" si="7"/>
        <v>0</v>
      </c>
      <c r="N26" s="54">
        <f t="shared" si="7"/>
        <v>0</v>
      </c>
      <c r="O26" s="54">
        <f t="shared" si="7"/>
        <v>0</v>
      </c>
      <c r="P26" s="59">
        <f t="shared" si="8"/>
        <v>0</v>
      </c>
      <c r="Q26" s="54">
        <f>P26*(1+'[2]Assumption (Advisory)'!E$46)</f>
        <v>0</v>
      </c>
      <c r="R26" s="54">
        <f>Q26*(1+'[2]Assumption (Advisory)'!F$46)</f>
        <v>0</v>
      </c>
      <c r="S26" s="54">
        <f>R26*(1+'[2]Assumption (Advisory)'!G$46)</f>
        <v>0</v>
      </c>
      <c r="T26" s="54">
        <f>S26*(1+'[2]Assumption (Advisory)'!H$46)</f>
        <v>0</v>
      </c>
      <c r="U26" s="5"/>
    </row>
    <row r="27" spans="2:25" x14ac:dyDescent="0.4">
      <c r="B27" s="22" t="s">
        <v>13</v>
      </c>
      <c r="D27" s="54">
        <f>VLOOKUP($B27,'Assumption (MedClinic)'!$B:$P,3,FALSE)</f>
        <v>125000</v>
      </c>
      <c r="E27" s="54">
        <f t="shared" si="7"/>
        <v>125000</v>
      </c>
      <c r="F27" s="54">
        <f t="shared" si="7"/>
        <v>125000</v>
      </c>
      <c r="G27" s="54">
        <f t="shared" si="7"/>
        <v>125000</v>
      </c>
      <c r="H27" s="54">
        <f t="shared" si="7"/>
        <v>125000</v>
      </c>
      <c r="I27" s="54">
        <f t="shared" si="7"/>
        <v>125000</v>
      </c>
      <c r="J27" s="54">
        <f t="shared" si="7"/>
        <v>125000</v>
      </c>
      <c r="K27" s="54">
        <f t="shared" si="7"/>
        <v>125000</v>
      </c>
      <c r="L27" s="54">
        <f t="shared" si="7"/>
        <v>125000</v>
      </c>
      <c r="M27" s="54">
        <f t="shared" si="7"/>
        <v>125000</v>
      </c>
      <c r="N27" s="54">
        <f t="shared" si="7"/>
        <v>125000</v>
      </c>
      <c r="O27" s="54">
        <f t="shared" si="7"/>
        <v>125000</v>
      </c>
      <c r="P27" s="59">
        <f t="shared" si="8"/>
        <v>1500000</v>
      </c>
      <c r="Q27" s="54">
        <f>P27*(1+'[2]Assumption (Advisory)'!E$46)</f>
        <v>1724999.9999999998</v>
      </c>
      <c r="R27" s="54">
        <f>Q27*(1+'[2]Assumption (Advisory)'!F$46)</f>
        <v>1983749.9999999995</v>
      </c>
      <c r="S27" s="54">
        <f>R27*(1+'[2]Assumption (Advisory)'!G$46)</f>
        <v>2281312.4999999991</v>
      </c>
      <c r="T27" s="54">
        <f>S27*(1+'[2]Assumption (Advisory)'!H$46)</f>
        <v>2623509.3749999986</v>
      </c>
      <c r="U27" s="5"/>
    </row>
    <row r="28" spans="2:25" x14ac:dyDescent="0.4">
      <c r="B28" s="22" t="s">
        <v>27</v>
      </c>
      <c r="D28" s="54">
        <f>VLOOKUP($B28,'Assumption (MedClinic)'!$B:$P,3,FALSE)</f>
        <v>0</v>
      </c>
      <c r="E28" s="54">
        <f t="shared" si="7"/>
        <v>0</v>
      </c>
      <c r="F28" s="54">
        <f t="shared" si="7"/>
        <v>0</v>
      </c>
      <c r="G28" s="54">
        <f t="shared" si="7"/>
        <v>0</v>
      </c>
      <c r="H28" s="54">
        <f t="shared" si="7"/>
        <v>0</v>
      </c>
      <c r="I28" s="54">
        <f t="shared" si="7"/>
        <v>0</v>
      </c>
      <c r="J28" s="54">
        <f t="shared" si="7"/>
        <v>0</v>
      </c>
      <c r="K28" s="54">
        <f t="shared" si="7"/>
        <v>0</v>
      </c>
      <c r="L28" s="54">
        <f t="shared" si="7"/>
        <v>0</v>
      </c>
      <c r="M28" s="54">
        <f t="shared" si="7"/>
        <v>0</v>
      </c>
      <c r="N28" s="54">
        <f t="shared" si="7"/>
        <v>0</v>
      </c>
      <c r="O28" s="54">
        <f t="shared" si="7"/>
        <v>0</v>
      </c>
      <c r="P28" s="59">
        <f t="shared" si="8"/>
        <v>0</v>
      </c>
      <c r="Q28" s="54">
        <f>P28*(1+'[2]Assumption (Advisory)'!E$46)</f>
        <v>0</v>
      </c>
      <c r="R28" s="54">
        <f>Q28*(1+'[2]Assumption (Advisory)'!F$46)</f>
        <v>0</v>
      </c>
      <c r="S28" s="54">
        <f>R28*(1+'[2]Assumption (Advisory)'!G$46)</f>
        <v>0</v>
      </c>
      <c r="T28" s="54">
        <f>S28*(1+'[2]Assumption (Advisory)'!H$46)</f>
        <v>0</v>
      </c>
      <c r="U28" s="5"/>
    </row>
    <row r="29" spans="2:25" x14ac:dyDescent="0.4">
      <c r="B29" s="22" t="s">
        <v>89</v>
      </c>
      <c r="D29" s="54">
        <f>VLOOKUP($B29,'Assumption (MedClinic)'!$B:$P,3,FALSE)</f>
        <v>0</v>
      </c>
      <c r="E29" s="54">
        <f t="shared" si="7"/>
        <v>0</v>
      </c>
      <c r="F29" s="54">
        <f t="shared" si="7"/>
        <v>0</v>
      </c>
      <c r="G29" s="54">
        <f t="shared" si="7"/>
        <v>0</v>
      </c>
      <c r="H29" s="54">
        <f t="shared" si="7"/>
        <v>0</v>
      </c>
      <c r="I29" s="54">
        <f t="shared" si="7"/>
        <v>0</v>
      </c>
      <c r="J29" s="54">
        <f t="shared" si="7"/>
        <v>0</v>
      </c>
      <c r="K29" s="54">
        <f t="shared" si="7"/>
        <v>0</v>
      </c>
      <c r="L29" s="54">
        <f t="shared" si="7"/>
        <v>0</v>
      </c>
      <c r="M29" s="54">
        <f t="shared" si="7"/>
        <v>0</v>
      </c>
      <c r="N29" s="54">
        <f t="shared" si="7"/>
        <v>0</v>
      </c>
      <c r="O29" s="54">
        <f t="shared" si="7"/>
        <v>0</v>
      </c>
      <c r="P29" s="59">
        <f t="shared" si="8"/>
        <v>0</v>
      </c>
      <c r="Q29" s="54">
        <f>P29*(1+'[2]Assumption (Advisory)'!E$46)</f>
        <v>0</v>
      </c>
      <c r="R29" s="54">
        <f>Q29*(1+'[2]Assumption (Advisory)'!F$46)</f>
        <v>0</v>
      </c>
      <c r="S29" s="54">
        <f>R29*(1+'[2]Assumption (Advisory)'!G$46)</f>
        <v>0</v>
      </c>
      <c r="T29" s="54">
        <f>S29*(1+'[2]Assumption (Advisory)'!H$46)</f>
        <v>0</v>
      </c>
      <c r="U29" s="5"/>
    </row>
    <row r="30" spans="2:25" x14ac:dyDescent="0.4">
      <c r="B30" s="22" t="s">
        <v>12</v>
      </c>
      <c r="D30" s="54">
        <f>VLOOKUP($B30,'Assumption (MedClinic)'!$B:$P,3,FALSE)</f>
        <v>0</v>
      </c>
      <c r="E30" s="54">
        <f t="shared" si="7"/>
        <v>0</v>
      </c>
      <c r="F30" s="54">
        <f t="shared" si="7"/>
        <v>0</v>
      </c>
      <c r="G30" s="54">
        <f t="shared" si="7"/>
        <v>0</v>
      </c>
      <c r="H30" s="54">
        <f t="shared" si="7"/>
        <v>0</v>
      </c>
      <c r="I30" s="54">
        <f t="shared" si="7"/>
        <v>0</v>
      </c>
      <c r="J30" s="54">
        <f t="shared" si="7"/>
        <v>0</v>
      </c>
      <c r="K30" s="54">
        <f t="shared" si="7"/>
        <v>0</v>
      </c>
      <c r="L30" s="54">
        <f t="shared" si="7"/>
        <v>0</v>
      </c>
      <c r="M30" s="54">
        <f t="shared" si="7"/>
        <v>0</v>
      </c>
      <c r="N30" s="54">
        <f t="shared" si="7"/>
        <v>0</v>
      </c>
      <c r="O30" s="54">
        <f t="shared" si="7"/>
        <v>0</v>
      </c>
      <c r="P30" s="59">
        <f t="shared" si="8"/>
        <v>0</v>
      </c>
      <c r="Q30" s="54">
        <f>P30*(1+'[2]Assumption (Advisory)'!E$46)</f>
        <v>0</v>
      </c>
      <c r="R30" s="54">
        <f>Q30*(1+'[2]Assumption (Advisory)'!F$46)</f>
        <v>0</v>
      </c>
      <c r="S30" s="54">
        <f>R30*(1+'[2]Assumption (Advisory)'!G$46)</f>
        <v>0</v>
      </c>
      <c r="T30" s="54">
        <f>S30*(1+'[2]Assumption (Advisory)'!H$46)</f>
        <v>0</v>
      </c>
      <c r="U30" s="5"/>
    </row>
    <row r="31" spans="2:25" x14ac:dyDescent="0.4">
      <c r="B31" s="22" t="s">
        <v>11</v>
      </c>
      <c r="D31" s="54">
        <f>VLOOKUP($B31,'Assumption (MedClinic)'!$B:$P,3,FALSE)</f>
        <v>0</v>
      </c>
      <c r="E31" s="54">
        <f t="shared" si="7"/>
        <v>0</v>
      </c>
      <c r="F31" s="54">
        <f t="shared" si="7"/>
        <v>0</v>
      </c>
      <c r="G31" s="54">
        <f t="shared" si="7"/>
        <v>0</v>
      </c>
      <c r="H31" s="54">
        <f t="shared" si="7"/>
        <v>0</v>
      </c>
      <c r="I31" s="54">
        <f t="shared" si="7"/>
        <v>0</v>
      </c>
      <c r="J31" s="54">
        <f t="shared" si="7"/>
        <v>0</v>
      </c>
      <c r="K31" s="54">
        <f t="shared" si="7"/>
        <v>0</v>
      </c>
      <c r="L31" s="54">
        <f t="shared" si="7"/>
        <v>0</v>
      </c>
      <c r="M31" s="54">
        <f t="shared" si="7"/>
        <v>0</v>
      </c>
      <c r="N31" s="54">
        <f t="shared" si="7"/>
        <v>0</v>
      </c>
      <c r="O31" s="54">
        <f t="shared" si="7"/>
        <v>0</v>
      </c>
      <c r="P31" s="59">
        <f t="shared" si="8"/>
        <v>0</v>
      </c>
      <c r="Q31" s="54">
        <f>P31*(1+'[2]Assumption (Advisory)'!E$46)</f>
        <v>0</v>
      </c>
      <c r="R31" s="54">
        <f>Q31*(1+'[2]Assumption (Advisory)'!F$46)</f>
        <v>0</v>
      </c>
      <c r="S31" s="54">
        <f>R31*(1+'[2]Assumption (Advisory)'!G$46)</f>
        <v>0</v>
      </c>
      <c r="T31" s="54">
        <f>S31*(1+'[2]Assumption (Advisory)'!H$46)</f>
        <v>0</v>
      </c>
      <c r="U31" s="5"/>
    </row>
    <row r="32" spans="2:25" x14ac:dyDescent="0.4">
      <c r="B32" s="22" t="s">
        <v>50</v>
      </c>
      <c r="D32" s="54">
        <f>VLOOKUP($B32,'Assumption (MedClinic)'!$B:$P,3,FALSE)</f>
        <v>200000</v>
      </c>
      <c r="E32" s="54">
        <f t="shared" si="7"/>
        <v>200000</v>
      </c>
      <c r="F32" s="54">
        <f t="shared" si="7"/>
        <v>200000</v>
      </c>
      <c r="G32" s="54">
        <f t="shared" si="7"/>
        <v>200000</v>
      </c>
      <c r="H32" s="54">
        <f t="shared" si="7"/>
        <v>200000</v>
      </c>
      <c r="I32" s="54">
        <f t="shared" si="7"/>
        <v>200000</v>
      </c>
      <c r="J32" s="54">
        <f t="shared" si="7"/>
        <v>200000</v>
      </c>
      <c r="K32" s="54">
        <f t="shared" si="7"/>
        <v>200000</v>
      </c>
      <c r="L32" s="54">
        <f t="shared" si="7"/>
        <v>200000</v>
      </c>
      <c r="M32" s="54">
        <f t="shared" si="7"/>
        <v>200000</v>
      </c>
      <c r="N32" s="54">
        <f t="shared" si="7"/>
        <v>200000</v>
      </c>
      <c r="O32" s="54">
        <f t="shared" si="7"/>
        <v>200000</v>
      </c>
      <c r="P32" s="59">
        <f t="shared" si="8"/>
        <v>2400000</v>
      </c>
      <c r="Q32" s="54">
        <f>P32*(1+'[2]Assumption (Advisory)'!E$46)</f>
        <v>2760000</v>
      </c>
      <c r="R32" s="54">
        <f>Q32*(1+'[2]Assumption (Advisory)'!F$46)</f>
        <v>3173999.9999999995</v>
      </c>
      <c r="S32" s="54">
        <f>R32*(1+'[2]Assumption (Advisory)'!G$46)</f>
        <v>3650099.9999999991</v>
      </c>
      <c r="T32" s="54">
        <f>S32*(1+'[2]Assumption (Advisory)'!H$46)</f>
        <v>4197614.9999999991</v>
      </c>
      <c r="U32" s="5"/>
    </row>
    <row r="33" spans="2:21" x14ac:dyDescent="0.4">
      <c r="B33" s="22" t="s">
        <v>51</v>
      </c>
      <c r="D33" s="54">
        <f>VLOOKUP($B33,'Assumption (MedClinic)'!$B:$P,3,FALSE)</f>
        <v>120000</v>
      </c>
      <c r="E33" s="54">
        <f t="shared" si="7"/>
        <v>120000</v>
      </c>
      <c r="F33" s="54">
        <f t="shared" si="7"/>
        <v>120000</v>
      </c>
      <c r="G33" s="54">
        <f t="shared" si="7"/>
        <v>120000</v>
      </c>
      <c r="H33" s="54">
        <f t="shared" si="7"/>
        <v>120000</v>
      </c>
      <c r="I33" s="54">
        <f t="shared" si="7"/>
        <v>120000</v>
      </c>
      <c r="J33" s="54">
        <f t="shared" si="7"/>
        <v>120000</v>
      </c>
      <c r="K33" s="54">
        <f t="shared" si="7"/>
        <v>120000</v>
      </c>
      <c r="L33" s="54">
        <f t="shared" si="7"/>
        <v>120000</v>
      </c>
      <c r="M33" s="54">
        <f t="shared" si="7"/>
        <v>120000</v>
      </c>
      <c r="N33" s="54">
        <f t="shared" si="7"/>
        <v>120000</v>
      </c>
      <c r="O33" s="54">
        <f t="shared" si="7"/>
        <v>120000</v>
      </c>
      <c r="P33" s="59">
        <f t="shared" si="8"/>
        <v>1440000</v>
      </c>
      <c r="Q33" s="54">
        <f>P33*(1+'[2]Assumption (Advisory)'!E$46)</f>
        <v>1655999.9999999998</v>
      </c>
      <c r="R33" s="54">
        <f>Q33*(1+'[2]Assumption (Advisory)'!F$46)</f>
        <v>1904399.9999999995</v>
      </c>
      <c r="S33" s="54">
        <f>R33*(1+'[2]Assumption (Advisory)'!G$46)</f>
        <v>2190059.9999999991</v>
      </c>
      <c r="T33" s="54">
        <f>S33*(1+'[2]Assumption (Advisory)'!H$46)</f>
        <v>2518568.9999999986</v>
      </c>
      <c r="U33" s="5"/>
    </row>
    <row r="34" spans="2:21" x14ac:dyDescent="0.35">
      <c r="B34" s="27" t="s">
        <v>52</v>
      </c>
      <c r="D34" s="54">
        <f>VLOOKUP($B34,'Assumption (MedClinic)'!$B:$P,3,FALSE)</f>
        <v>125000</v>
      </c>
      <c r="E34" s="54">
        <f t="shared" si="7"/>
        <v>125000</v>
      </c>
      <c r="F34" s="54">
        <f t="shared" si="7"/>
        <v>125000</v>
      </c>
      <c r="G34" s="54">
        <f t="shared" si="7"/>
        <v>125000</v>
      </c>
      <c r="H34" s="54">
        <f t="shared" si="7"/>
        <v>125000</v>
      </c>
      <c r="I34" s="54">
        <f t="shared" si="7"/>
        <v>125000</v>
      </c>
      <c r="J34" s="54">
        <f t="shared" si="7"/>
        <v>125000</v>
      </c>
      <c r="K34" s="54">
        <f t="shared" si="7"/>
        <v>125000</v>
      </c>
      <c r="L34" s="54">
        <f t="shared" si="7"/>
        <v>125000</v>
      </c>
      <c r="M34" s="54">
        <f t="shared" si="7"/>
        <v>125000</v>
      </c>
      <c r="N34" s="54">
        <f t="shared" si="7"/>
        <v>125000</v>
      </c>
      <c r="O34" s="54">
        <f t="shared" si="7"/>
        <v>125000</v>
      </c>
      <c r="P34" s="59">
        <f t="shared" si="8"/>
        <v>1500000</v>
      </c>
      <c r="Q34" s="54">
        <f>P34*(1+'[2]Assumption (Advisory)'!E$46)</f>
        <v>1724999.9999999998</v>
      </c>
      <c r="R34" s="54">
        <f>Q34*(1+'[2]Assumption (Advisory)'!F$46)</f>
        <v>1983749.9999999995</v>
      </c>
      <c r="S34" s="54">
        <f>R34*(1+'[2]Assumption (Advisory)'!G$46)</f>
        <v>2281312.4999999991</v>
      </c>
      <c r="T34" s="54">
        <f>S34*(1+'[2]Assumption (Advisory)'!H$46)</f>
        <v>2623509.3749999986</v>
      </c>
      <c r="U34" s="5"/>
    </row>
    <row r="35" spans="2:21" x14ac:dyDescent="0.35">
      <c r="B35" s="27" t="s">
        <v>68</v>
      </c>
      <c r="D35" s="54">
        <f>VLOOKUP($B35,'Assumption (MedClinic)'!$B:$P,3,FALSE)</f>
        <v>700000</v>
      </c>
      <c r="E35" s="54">
        <f t="shared" si="7"/>
        <v>700000</v>
      </c>
      <c r="F35" s="54">
        <f t="shared" si="7"/>
        <v>700000</v>
      </c>
      <c r="G35" s="54">
        <f t="shared" si="7"/>
        <v>700000</v>
      </c>
      <c r="H35" s="54">
        <f t="shared" si="7"/>
        <v>700000</v>
      </c>
      <c r="I35" s="54">
        <f t="shared" si="7"/>
        <v>700000</v>
      </c>
      <c r="J35" s="54">
        <f t="shared" si="7"/>
        <v>700000</v>
      </c>
      <c r="K35" s="54">
        <f t="shared" si="7"/>
        <v>700000</v>
      </c>
      <c r="L35" s="54">
        <f t="shared" si="7"/>
        <v>700000</v>
      </c>
      <c r="M35" s="54">
        <f t="shared" si="7"/>
        <v>700000</v>
      </c>
      <c r="N35" s="54">
        <f t="shared" si="7"/>
        <v>700000</v>
      </c>
      <c r="O35" s="54">
        <f t="shared" si="7"/>
        <v>700000</v>
      </c>
      <c r="P35" s="59">
        <f t="shared" si="8"/>
        <v>8400000</v>
      </c>
      <c r="Q35" s="54">
        <f>P35*(1+'[2]Assumption (Advisory)'!E$46)</f>
        <v>9660000</v>
      </c>
      <c r="R35" s="54">
        <f>Q35*(1+'[2]Assumption (Advisory)'!F$46)</f>
        <v>11109000</v>
      </c>
      <c r="S35" s="54">
        <f>R35*(1+'[2]Assumption (Advisory)'!G$46)</f>
        <v>12775349.999999998</v>
      </c>
      <c r="T35" s="54">
        <f>S35*(1+'[2]Assumption (Advisory)'!H$46)</f>
        <v>14691652.499999996</v>
      </c>
      <c r="U35" s="5"/>
    </row>
    <row r="36" spans="2:21" hidden="1" x14ac:dyDescent="0.35">
      <c r="B36" s="27" t="s">
        <v>114</v>
      </c>
      <c r="D36" s="54">
        <f>VLOOKUP($B36,'Assumption (MedClinic)'!$B:$P,3,FALSE)</f>
        <v>0</v>
      </c>
      <c r="E36" s="54">
        <f t="shared" si="7"/>
        <v>0</v>
      </c>
      <c r="F36" s="54">
        <f t="shared" si="7"/>
        <v>0</v>
      </c>
      <c r="G36" s="54">
        <f t="shared" si="7"/>
        <v>0</v>
      </c>
      <c r="H36" s="54">
        <f t="shared" si="7"/>
        <v>0</v>
      </c>
      <c r="I36" s="54">
        <f t="shared" si="7"/>
        <v>0</v>
      </c>
      <c r="J36" s="54">
        <f t="shared" si="7"/>
        <v>0</v>
      </c>
      <c r="K36" s="54">
        <f t="shared" si="7"/>
        <v>0</v>
      </c>
      <c r="L36" s="54">
        <f t="shared" si="7"/>
        <v>0</v>
      </c>
      <c r="M36" s="54">
        <f t="shared" si="7"/>
        <v>0</v>
      </c>
      <c r="N36" s="54">
        <f t="shared" si="7"/>
        <v>0</v>
      </c>
      <c r="O36" s="54">
        <f t="shared" si="7"/>
        <v>0</v>
      </c>
      <c r="P36" s="59">
        <f t="shared" si="8"/>
        <v>0</v>
      </c>
      <c r="Q36" s="54">
        <f>P36*(1+'[2]Assumption (Advisory)'!E$46)</f>
        <v>0</v>
      </c>
      <c r="R36" s="54">
        <f>Q36*(1+'[2]Assumption (Advisory)'!F$46)</f>
        <v>0</v>
      </c>
      <c r="S36" s="54">
        <f>R36*(1+'[2]Assumption (Advisory)'!G$46)</f>
        <v>0</v>
      </c>
      <c r="T36" s="54">
        <f>S36*(1+'[2]Assumption (Advisory)'!H$46)</f>
        <v>0</v>
      </c>
      <c r="U36" s="5"/>
    </row>
    <row r="37" spans="2:21" x14ac:dyDescent="0.35">
      <c r="B37" s="27" t="s">
        <v>115</v>
      </c>
      <c r="D37" s="54">
        <f>VLOOKUP($B37,'Assumption (MedClinic)'!$B:$P,3,FALSE)</f>
        <v>21750562.883073326</v>
      </c>
      <c r="E37" s="54">
        <f t="shared" ref="E37" si="9">D37</f>
        <v>21750562.883073326</v>
      </c>
      <c r="F37" s="54">
        <f t="shared" ref="F37" si="10">E37</f>
        <v>21750562.883073326</v>
      </c>
      <c r="G37" s="54">
        <f t="shared" ref="G37" si="11">F37</f>
        <v>21750562.883073326</v>
      </c>
      <c r="H37" s="54">
        <f t="shared" ref="H37" si="12">G37</f>
        <v>21750562.883073326</v>
      </c>
      <c r="I37" s="54">
        <f t="shared" ref="I37" si="13">H37</f>
        <v>21750562.883073326</v>
      </c>
      <c r="J37" s="54">
        <f t="shared" ref="J37" si="14">I37</f>
        <v>21750562.883073326</v>
      </c>
      <c r="K37" s="54">
        <f t="shared" ref="K37" si="15">J37</f>
        <v>21750562.883073326</v>
      </c>
      <c r="L37" s="54">
        <f t="shared" ref="L37" si="16">K37</f>
        <v>21750562.883073326</v>
      </c>
      <c r="M37" s="54">
        <f t="shared" ref="M37" si="17">L37</f>
        <v>21750562.883073326</v>
      </c>
      <c r="N37" s="54">
        <f t="shared" ref="N37" si="18">M37</f>
        <v>21750562.883073326</v>
      </c>
      <c r="O37" s="54">
        <f t="shared" ref="O37" si="19">N37</f>
        <v>21750562.883073326</v>
      </c>
      <c r="P37" s="59">
        <f t="shared" ref="P37" si="20">SUM(D37:O37)</f>
        <v>261006754.59687993</v>
      </c>
      <c r="Q37" s="54">
        <f>P37*(1+'[2]Assumption (Advisory)'!E$46)</f>
        <v>300157767.78641188</v>
      </c>
      <c r="R37" s="54">
        <f>Q37*(1+'[2]Assumption (Advisory)'!F$46)</f>
        <v>345181432.95437366</v>
      </c>
      <c r="S37" s="54">
        <f>R37*(1+'[2]Assumption (Advisory)'!G$46)</f>
        <v>396958647.89752966</v>
      </c>
      <c r="T37" s="54">
        <f>S37*(1+'[2]Assumption (Advisory)'!H$46)</f>
        <v>456502445.0821591</v>
      </c>
      <c r="U37" s="5"/>
    </row>
    <row r="38" spans="2:21" ht="16.5" thickBot="1" x14ac:dyDescent="0.4">
      <c r="B38" s="23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5"/>
    </row>
    <row r="39" spans="2:21" ht="16.5" thickBot="1" x14ac:dyDescent="0.4">
      <c r="B39" s="24" t="s">
        <v>19</v>
      </c>
      <c r="C39" s="19"/>
      <c r="D39" s="46">
        <f t="shared" ref="D39:O39" si="21">SUM(D22:D37)</f>
        <v>23435247.333232492</v>
      </c>
      <c r="E39" s="46">
        <f t="shared" si="21"/>
        <v>23435247.333232492</v>
      </c>
      <c r="F39" s="46">
        <f t="shared" si="21"/>
        <v>23435247.333232492</v>
      </c>
      <c r="G39" s="46">
        <f t="shared" si="21"/>
        <v>23435247.333232492</v>
      </c>
      <c r="H39" s="46">
        <f t="shared" si="21"/>
        <v>23435247.333232492</v>
      </c>
      <c r="I39" s="46">
        <f t="shared" si="21"/>
        <v>23435247.333232492</v>
      </c>
      <c r="J39" s="46">
        <f t="shared" si="21"/>
        <v>23435247.333232492</v>
      </c>
      <c r="K39" s="46">
        <f t="shared" si="21"/>
        <v>23435247.333232492</v>
      </c>
      <c r="L39" s="46">
        <f t="shared" si="21"/>
        <v>23435247.333232492</v>
      </c>
      <c r="M39" s="46">
        <f t="shared" si="21"/>
        <v>23435247.333232492</v>
      </c>
      <c r="N39" s="46">
        <f t="shared" si="21"/>
        <v>23435247.333232492</v>
      </c>
      <c r="O39" s="46">
        <f t="shared" si="21"/>
        <v>23435247.333232492</v>
      </c>
      <c r="P39" s="46">
        <f>SUM(P22:P37)</f>
        <v>281222967.99878991</v>
      </c>
      <c r="Q39" s="46">
        <f t="shared" ref="Q39:T39" si="22">SUM(Q22:Q37)</f>
        <v>323406413.1986084</v>
      </c>
      <c r="R39" s="46">
        <f t="shared" si="22"/>
        <v>371917375.17839962</v>
      </c>
      <c r="S39" s="46">
        <f t="shared" si="22"/>
        <v>427704981.45515954</v>
      </c>
      <c r="T39" s="46">
        <f t="shared" si="22"/>
        <v>491860728.67343342</v>
      </c>
      <c r="U39" s="5"/>
    </row>
    <row r="40" spans="2:21" ht="16.5" thickBot="1" x14ac:dyDescent="0.4">
      <c r="B40" s="23"/>
      <c r="C40" s="19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5"/>
    </row>
    <row r="41" spans="2:21" ht="16.5" thickBot="1" x14ac:dyDescent="0.4">
      <c r="B41" s="24" t="s">
        <v>6</v>
      </c>
      <c r="C41" s="19"/>
      <c r="D41" s="46">
        <f>D19-D39</f>
        <v>113525354.93530086</v>
      </c>
      <c r="E41" s="46">
        <f t="shared" ref="E41:T41" si="23">E19-E39</f>
        <v>113525354.93530086</v>
      </c>
      <c r="F41" s="46">
        <f t="shared" si="23"/>
        <v>113525354.93530086</v>
      </c>
      <c r="G41" s="46">
        <f t="shared" si="23"/>
        <v>113525354.93530086</v>
      </c>
      <c r="H41" s="46">
        <f t="shared" si="23"/>
        <v>113525354.93530086</v>
      </c>
      <c r="I41" s="46">
        <f t="shared" si="23"/>
        <v>113525354.93530086</v>
      </c>
      <c r="J41" s="46">
        <f t="shared" si="23"/>
        <v>113525354.93530086</v>
      </c>
      <c r="K41" s="46">
        <f t="shared" si="23"/>
        <v>113525354.93530086</v>
      </c>
      <c r="L41" s="46">
        <f t="shared" si="23"/>
        <v>113525354.93530086</v>
      </c>
      <c r="M41" s="46">
        <f t="shared" si="23"/>
        <v>113525354.93530086</v>
      </c>
      <c r="N41" s="46">
        <f t="shared" si="23"/>
        <v>113525354.93530086</v>
      </c>
      <c r="O41" s="46">
        <f t="shared" si="23"/>
        <v>113525354.93530086</v>
      </c>
      <c r="P41" s="46">
        <f t="shared" si="23"/>
        <v>1362304259.2236114</v>
      </c>
      <c r="Q41" s="46">
        <f t="shared" si="23"/>
        <v>3188972233.4908342</v>
      </c>
      <c r="R41" s="46">
        <f t="shared" si="23"/>
        <v>4475165157.2530308</v>
      </c>
      <c r="S41" s="46">
        <f t="shared" si="23"/>
        <v>6261268913.3002129</v>
      </c>
      <c r="T41" s="46">
        <f t="shared" si="23"/>
        <v>8738923246.0889797</v>
      </c>
      <c r="U41" s="5"/>
    </row>
    <row r="42" spans="2:21" x14ac:dyDescent="0.35">
      <c r="B42" s="47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4"/>
      <c r="Q42" s="54"/>
      <c r="R42" s="54"/>
      <c r="S42" s="54"/>
      <c r="T42" s="54"/>
      <c r="U42" s="5"/>
    </row>
    <row r="43" spans="2:21" x14ac:dyDescent="0.35">
      <c r="B43" s="47" t="s">
        <v>52</v>
      </c>
      <c r="D43" s="54">
        <f>VLOOKUP($B43,'Assumption (MedClinic)'!$B:$P,3,FALSE)</f>
        <v>125000</v>
      </c>
      <c r="E43" s="63">
        <f t="shared" ref="E43:O43" si="24">D43</f>
        <v>125000</v>
      </c>
      <c r="F43" s="63">
        <f t="shared" si="24"/>
        <v>125000</v>
      </c>
      <c r="G43" s="63">
        <f t="shared" si="24"/>
        <v>125000</v>
      </c>
      <c r="H43" s="63">
        <f t="shared" si="24"/>
        <v>125000</v>
      </c>
      <c r="I43" s="63">
        <f t="shared" si="24"/>
        <v>125000</v>
      </c>
      <c r="J43" s="63">
        <f t="shared" si="24"/>
        <v>125000</v>
      </c>
      <c r="K43" s="63">
        <f t="shared" si="24"/>
        <v>125000</v>
      </c>
      <c r="L43" s="63">
        <f t="shared" si="24"/>
        <v>125000</v>
      </c>
      <c r="M43" s="63">
        <f t="shared" si="24"/>
        <v>125000</v>
      </c>
      <c r="N43" s="63">
        <f t="shared" si="24"/>
        <v>125000</v>
      </c>
      <c r="O43" s="63">
        <f t="shared" si="24"/>
        <v>125000</v>
      </c>
      <c r="P43" s="64">
        <f t="shared" ref="P43" si="25">SUM(D43:O43)</f>
        <v>1500000</v>
      </c>
      <c r="Q43" s="54">
        <f>P43*(1+'[2]Assumption (Advisory)'!E$46)</f>
        <v>1724999.9999999998</v>
      </c>
      <c r="R43" s="54">
        <f>Q43*(1+'[2]Assumption (Advisory)'!F$46)</f>
        <v>1983749.9999999995</v>
      </c>
      <c r="S43" s="54">
        <f>R43*(1+'[2]Assumption (Advisory)'!G$46)</f>
        <v>2281312.4999999991</v>
      </c>
      <c r="T43" s="54">
        <f>S43*(1+'[2]Assumption (Advisory)'!H$46)</f>
        <v>2623509.3749999986</v>
      </c>
      <c r="U43" s="5"/>
    </row>
    <row r="44" spans="2:21" ht="16.5" thickBot="1" x14ac:dyDescent="0.4">
      <c r="B44" s="11"/>
      <c r="C44" s="20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65"/>
      <c r="Q44" s="62"/>
      <c r="R44" s="62"/>
      <c r="S44" s="62"/>
      <c r="T44" s="62"/>
      <c r="U44" s="5"/>
    </row>
    <row r="45" spans="2:21" ht="16.5" thickBot="1" x14ac:dyDescent="0.4">
      <c r="B45" s="11" t="s">
        <v>54</v>
      </c>
      <c r="C45" s="20"/>
      <c r="D45" s="46">
        <f>D41-D43</f>
        <v>113400354.93530086</v>
      </c>
      <c r="E45" s="46">
        <f t="shared" ref="E45:T45" si="26">E41-E43</f>
        <v>113400354.93530086</v>
      </c>
      <c r="F45" s="46">
        <f t="shared" si="26"/>
        <v>113400354.93530086</v>
      </c>
      <c r="G45" s="46">
        <f t="shared" si="26"/>
        <v>113400354.93530086</v>
      </c>
      <c r="H45" s="46">
        <f t="shared" si="26"/>
        <v>113400354.93530086</v>
      </c>
      <c r="I45" s="46">
        <f t="shared" si="26"/>
        <v>113400354.93530086</v>
      </c>
      <c r="J45" s="46">
        <f t="shared" si="26"/>
        <v>113400354.93530086</v>
      </c>
      <c r="K45" s="46">
        <f t="shared" si="26"/>
        <v>113400354.93530086</v>
      </c>
      <c r="L45" s="46">
        <f t="shared" si="26"/>
        <v>113400354.93530086</v>
      </c>
      <c r="M45" s="46">
        <f t="shared" si="26"/>
        <v>113400354.93530086</v>
      </c>
      <c r="N45" s="46">
        <f t="shared" si="26"/>
        <v>113400354.93530086</v>
      </c>
      <c r="O45" s="46">
        <f t="shared" si="26"/>
        <v>113400354.93530086</v>
      </c>
      <c r="P45" s="46">
        <f t="shared" si="26"/>
        <v>1360804259.2236114</v>
      </c>
      <c r="Q45" s="46">
        <f t="shared" si="26"/>
        <v>3187247233.4908342</v>
      </c>
      <c r="R45" s="46">
        <f t="shared" si="26"/>
        <v>4473181407.2530308</v>
      </c>
      <c r="S45" s="46">
        <f t="shared" si="26"/>
        <v>6258987600.8002129</v>
      </c>
      <c r="T45" s="46">
        <f t="shared" si="26"/>
        <v>8736299736.7139797</v>
      </c>
      <c r="U45" s="5"/>
    </row>
    <row r="46" spans="2:21" ht="16.5" hidden="1" thickBot="1" x14ac:dyDescent="0.4">
      <c r="B46" s="11"/>
      <c r="C46" s="20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65"/>
      <c r="Q46" s="54"/>
      <c r="R46" s="54"/>
      <c r="S46" s="54"/>
      <c r="T46" s="54"/>
      <c r="U46" s="5"/>
    </row>
    <row r="47" spans="2:21" ht="16.5" hidden="1" thickBot="1" x14ac:dyDescent="0.4">
      <c r="B47" s="11" t="s">
        <v>21</v>
      </c>
      <c r="C47" s="20"/>
      <c r="D47" s="46">
        <f>D45</f>
        <v>113400354.93530086</v>
      </c>
      <c r="E47" s="46">
        <f>D47+E45</f>
        <v>226800709.87060171</v>
      </c>
      <c r="F47" s="46">
        <f t="shared" ref="F47:O47" si="27">E47+F45</f>
        <v>340201064.8059026</v>
      </c>
      <c r="G47" s="46">
        <f t="shared" si="27"/>
        <v>453601419.74120343</v>
      </c>
      <c r="H47" s="46">
        <f t="shared" si="27"/>
        <v>567001774.67650425</v>
      </c>
      <c r="I47" s="46">
        <f t="shared" si="27"/>
        <v>680402129.61180508</v>
      </c>
      <c r="J47" s="46">
        <f t="shared" si="27"/>
        <v>793802484.54710591</v>
      </c>
      <c r="K47" s="46">
        <f t="shared" si="27"/>
        <v>907202839.48240674</v>
      </c>
      <c r="L47" s="46">
        <f t="shared" si="27"/>
        <v>1020603194.4177076</v>
      </c>
      <c r="M47" s="46">
        <f t="shared" si="27"/>
        <v>1134003549.3530085</v>
      </c>
      <c r="N47" s="46">
        <f t="shared" si="27"/>
        <v>1247403904.2883093</v>
      </c>
      <c r="O47" s="46">
        <f t="shared" si="27"/>
        <v>1360804259.2236102</v>
      </c>
      <c r="P47" s="46">
        <f>P45</f>
        <v>1360804259.2236114</v>
      </c>
      <c r="Q47" s="62">
        <f>P47+Q41</f>
        <v>4549776492.7144451</v>
      </c>
      <c r="R47" s="62">
        <f t="shared" ref="R47:T47" si="28">Q47+R41</f>
        <v>9024941649.9674759</v>
      </c>
      <c r="S47" s="62">
        <f t="shared" si="28"/>
        <v>15286210563.267689</v>
      </c>
      <c r="T47" s="62">
        <f t="shared" si="28"/>
        <v>24025133809.356667</v>
      </c>
      <c r="U47" s="5"/>
    </row>
    <row r="48" spans="2:21" ht="16.5" hidden="1" outlineLevel="1" thickBot="1" x14ac:dyDescent="0.4">
      <c r="B48" s="11"/>
      <c r="C48" s="20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65"/>
      <c r="Q48" s="62"/>
      <c r="R48" s="62"/>
      <c r="S48" s="62"/>
      <c r="T48" s="62"/>
      <c r="U48" s="5"/>
    </row>
    <row r="49" spans="2:21" ht="16.5" hidden="1" outlineLevel="1" thickBot="1" x14ac:dyDescent="0.4">
      <c r="B49" s="11" t="s">
        <v>22</v>
      </c>
      <c r="C49" s="20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65"/>
      <c r="Q49" s="62"/>
      <c r="R49" s="62"/>
      <c r="S49" s="62"/>
      <c r="T49" s="62"/>
      <c r="U49" s="5"/>
    </row>
    <row r="50" spans="2:21" ht="16.5" hidden="1" outlineLevel="1" thickBot="1" x14ac:dyDescent="0.4">
      <c r="B50" s="11"/>
      <c r="C50" s="20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65"/>
      <c r="Q50" s="62"/>
      <c r="R50" s="62"/>
      <c r="S50" s="62"/>
      <c r="T50" s="62"/>
      <c r="U50" s="5"/>
    </row>
    <row r="51" spans="2:21" ht="16.5" hidden="1" outlineLevel="1" thickBot="1" x14ac:dyDescent="0.4">
      <c r="B51" s="11" t="s">
        <v>23</v>
      </c>
      <c r="C51" s="20"/>
      <c r="D51" s="46">
        <f>D47-D49</f>
        <v>113400354.93530086</v>
      </c>
      <c r="E51" s="46">
        <f t="shared" ref="E51:O51" si="29">E47-E49</f>
        <v>226800709.87060171</v>
      </c>
      <c r="F51" s="46">
        <f t="shared" si="29"/>
        <v>340201064.8059026</v>
      </c>
      <c r="G51" s="46">
        <f t="shared" si="29"/>
        <v>453601419.74120343</v>
      </c>
      <c r="H51" s="46">
        <f t="shared" si="29"/>
        <v>567001774.67650425</v>
      </c>
      <c r="I51" s="46">
        <f t="shared" si="29"/>
        <v>680402129.61180508</v>
      </c>
      <c r="J51" s="46">
        <f t="shared" si="29"/>
        <v>793802484.54710591</v>
      </c>
      <c r="K51" s="46">
        <f t="shared" si="29"/>
        <v>907202839.48240674</v>
      </c>
      <c r="L51" s="46">
        <f t="shared" si="29"/>
        <v>1020603194.4177076</v>
      </c>
      <c r="M51" s="46">
        <f t="shared" si="29"/>
        <v>1134003549.3530085</v>
      </c>
      <c r="N51" s="46">
        <f t="shared" si="29"/>
        <v>1247403904.2883093</v>
      </c>
      <c r="O51" s="46">
        <f t="shared" si="29"/>
        <v>1360804259.2236102</v>
      </c>
      <c r="P51" s="65">
        <f>P47-P49</f>
        <v>1360804259.2236114</v>
      </c>
      <c r="Q51" s="62">
        <f t="shared" ref="Q51:T51" si="30">Q47-Q49</f>
        <v>4549776492.7144451</v>
      </c>
      <c r="R51" s="62">
        <f t="shared" si="30"/>
        <v>9024941649.9674759</v>
      </c>
      <c r="S51" s="62">
        <f t="shared" si="30"/>
        <v>15286210563.267689</v>
      </c>
      <c r="T51" s="62">
        <f t="shared" si="30"/>
        <v>24025133809.356667</v>
      </c>
      <c r="U51" s="5"/>
    </row>
    <row r="52" spans="2:21" ht="16.5" hidden="1" outlineLevel="1" thickBot="1" x14ac:dyDescent="0.4">
      <c r="B52" s="11"/>
      <c r="C52" s="20"/>
      <c r="D52" s="12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62"/>
      <c r="Q52" s="62"/>
      <c r="R52" s="62"/>
      <c r="S52" s="62"/>
      <c r="T52" s="62"/>
      <c r="U52" s="5"/>
    </row>
    <row r="53" spans="2:21" ht="16.5" hidden="1" collapsed="1" thickBot="1" x14ac:dyDescent="0.4">
      <c r="B53" s="11" t="s">
        <v>24</v>
      </c>
      <c r="C53" s="20"/>
      <c r="D53" s="12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2" t="str">
        <f>IF(P51&gt;0,"1 Year"," ")</f>
        <v>1 Year</v>
      </c>
      <c r="Q53" s="12" t="str">
        <f>IF(Q51&gt;0,"2 Year"," ")</f>
        <v>2 Year</v>
      </c>
      <c r="R53" s="12" t="str">
        <f>IF(R51&gt;0,"3 Year"," ")</f>
        <v>3 Year</v>
      </c>
      <c r="S53" s="12" t="str">
        <f>IF(S51&gt;0,"4 Year"," ")</f>
        <v>4 Year</v>
      </c>
      <c r="T53" s="12" t="str">
        <f>IF(T51&gt;0,"5 Year"," ")</f>
        <v>5 Year</v>
      </c>
    </row>
  </sheetData>
  <pageMargins left="0.7" right="0.7" top="0.75" bottom="0.75" header="0.3" footer="0.3"/>
  <pageSetup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Assumption (Advisory)</vt:lpstr>
      <vt:lpstr>Computations (Advisory)</vt:lpstr>
      <vt:lpstr>Assumption (MedClinic)</vt:lpstr>
      <vt:lpstr>Computations (MedClinic)</vt:lpstr>
      <vt:lpstr>'Assumption (Advisory)'!Print_Area</vt:lpstr>
      <vt:lpstr>'Computations (Advisory)'!Print_Area</vt:lpstr>
      <vt:lpstr>'Computations (MedClinic)'!Print_Area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john.aigbonohan@medburymedicals.com</dc:creator>
  <cp:lastModifiedBy>MMS PHIA Chief Operational Officer</cp:lastModifiedBy>
  <dcterms:created xsi:type="dcterms:W3CDTF">2023-05-03T11:38:25Z</dcterms:created>
  <dcterms:modified xsi:type="dcterms:W3CDTF">2025-05-03T12:09:29Z</dcterms:modified>
</cp:coreProperties>
</file>